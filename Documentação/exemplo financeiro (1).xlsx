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uni\Downloads\"/>
    </mc:Choice>
  </mc:AlternateContent>
  <xr:revisionPtr revIDLastSave="0" documentId="13_ncr:1_{1558ABE2-A97E-425F-9EF7-B35FCC3BDAF2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Investimentos Fixos" sheetId="1" r:id="rId1"/>
    <sheet name="Capital de Giro" sheetId="2" r:id="rId2"/>
    <sheet name="Investimentos Pré-Operacionais" sheetId="3" r:id="rId3"/>
    <sheet name="Investimento Total" sheetId="4" r:id="rId4"/>
    <sheet name="FaturamentoXCustos" sheetId="5" r:id="rId5"/>
    <sheet name="cont... custos" sheetId="6" r:id="rId6"/>
    <sheet name="Resultado Fin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hm+3bg6fL+QXEFGDcywohsz2itqBAJPt2yUtmwi2kIQ="/>
    </ext>
  </extLst>
</workbook>
</file>

<file path=xl/calcChain.xml><?xml version="1.0" encoding="utf-8"?>
<calcChain xmlns="http://schemas.openxmlformats.org/spreadsheetml/2006/main">
  <c r="A12" i="6" l="1"/>
  <c r="A10" i="6"/>
  <c r="C10" i="6"/>
  <c r="D10" i="6" s="1"/>
  <c r="C11" i="6"/>
  <c r="D11" i="6" s="1"/>
  <c r="B10" i="6"/>
  <c r="B11" i="6"/>
  <c r="B12" i="6"/>
  <c r="C12" i="6"/>
  <c r="D12" i="6"/>
  <c r="G12" i="6" s="1"/>
  <c r="B13" i="6"/>
  <c r="C13" i="6"/>
  <c r="D13" i="6"/>
  <c r="A13" i="6"/>
  <c r="E8" i="1"/>
  <c r="E9" i="1"/>
  <c r="E5" i="1"/>
  <c r="A11" i="6" l="1"/>
  <c r="E7" i="1"/>
  <c r="D3" i="6" l="1"/>
  <c r="F3" i="6" s="1"/>
  <c r="H3" i="6" s="1"/>
  <c r="C9" i="6"/>
  <c r="B9" i="6"/>
  <c r="A9" i="6"/>
  <c r="D4" i="6"/>
  <c r="D27" i="5"/>
  <c r="D28" i="5" s="1"/>
  <c r="C4" i="7" s="1"/>
  <c r="D17" i="5"/>
  <c r="D16" i="5"/>
  <c r="D9" i="5"/>
  <c r="D8" i="5"/>
  <c r="D7" i="5"/>
  <c r="D6" i="5"/>
  <c r="D5" i="5"/>
  <c r="D4" i="5"/>
  <c r="D3" i="5"/>
  <c r="B8" i="3"/>
  <c r="B10" i="3" s="1"/>
  <c r="B5" i="4" s="1"/>
  <c r="D3" i="2"/>
  <c r="J16" i="1"/>
  <c r="J8" i="1"/>
  <c r="J7" i="1"/>
  <c r="J6" i="1"/>
  <c r="J5" i="1"/>
  <c r="D9" i="6" l="1"/>
  <c r="G9" i="6" s="1"/>
  <c r="D10" i="5"/>
  <c r="C34" i="5" s="1"/>
  <c r="J11" i="1"/>
  <c r="E12" i="1"/>
  <c r="F4" i="6"/>
  <c r="H4" i="6" s="1"/>
  <c r="C32" i="5" l="1"/>
  <c r="D32" i="5" s="1"/>
  <c r="C33" i="5"/>
  <c r="D33" i="5" s="1"/>
  <c r="C3" i="7"/>
  <c r="G2" i="7" s="1"/>
  <c r="D34" i="5"/>
  <c r="J19" i="1"/>
  <c r="B3" i="4" s="1"/>
  <c r="G20" i="6"/>
  <c r="B25" i="6" s="1"/>
  <c r="H5" i="6"/>
  <c r="D35" i="5" l="1"/>
  <c r="B4" i="2" s="1"/>
  <c r="E24" i="6"/>
  <c r="D4" i="2"/>
  <c r="C6" i="7"/>
  <c r="C7" i="7" s="1"/>
  <c r="C8" i="7" s="1"/>
  <c r="B17" i="7" s="1"/>
  <c r="B41" i="6"/>
  <c r="C9" i="7" l="1"/>
  <c r="B18" i="7" s="1"/>
  <c r="B5" i="2"/>
  <c r="D5" i="2" s="1"/>
  <c r="D6" i="2" s="1"/>
  <c r="B4" i="4" s="1"/>
  <c r="B6" i="4" s="1"/>
  <c r="E25" i="6"/>
  <c r="C10" i="7" l="1"/>
  <c r="H3" i="7" s="1"/>
  <c r="C3" i="4"/>
  <c r="C5" i="4"/>
  <c r="C4" i="4"/>
  <c r="B38" i="7" l="1"/>
  <c r="G5" i="7" s="1"/>
  <c r="D10" i="7"/>
  <c r="G3" i="7" s="1"/>
  <c r="B25" i="7"/>
  <c r="B32" i="7"/>
  <c r="G4" i="7" s="1"/>
  <c r="D18" i="5"/>
</calcChain>
</file>

<file path=xl/sharedStrings.xml><?xml version="1.0" encoding="utf-8"?>
<sst xmlns="http://schemas.openxmlformats.org/spreadsheetml/2006/main" count="176" uniqueCount="140">
  <si>
    <t>1- Máquinas e Equipamentos</t>
  </si>
  <si>
    <t>3- Móveis e Utensílios</t>
  </si>
  <si>
    <t>Descrição</t>
  </si>
  <si>
    <t>Qtde</t>
  </si>
  <si>
    <t>Valor Unit.</t>
  </si>
  <si>
    <t>Total</t>
  </si>
  <si>
    <t>3- Veículos</t>
  </si>
  <si>
    <t>TOTAL DE INVESTIMENTOS FIXOS</t>
  </si>
  <si>
    <t>5- Capital de Giro (suficiente para 6 meses)</t>
  </si>
  <si>
    <t>Valor mensal</t>
  </si>
  <si>
    <t>Tempo (mês)</t>
  </si>
  <si>
    <t>Total R$</t>
  </si>
  <si>
    <t>Planilha 10 - Apuração do custo de Matéria-Prima e Mercadorias Vendidas</t>
  </si>
  <si>
    <t>Planilha 11 - Estimativa dos custos de comercialização</t>
  </si>
  <si>
    <t>Planilha 14 - Estimativa de custos fixos operacionais mensais(50%)</t>
  </si>
  <si>
    <t>6- Investimentos Pré-Operacionais</t>
  </si>
  <si>
    <t>R$</t>
  </si>
  <si>
    <t>Total de Investimentos Pré Operacionais</t>
  </si>
  <si>
    <t>7 - Investimento Total</t>
  </si>
  <si>
    <t>Descrição dos Investimentos</t>
  </si>
  <si>
    <t>Valor</t>
  </si>
  <si>
    <t>Percentual</t>
  </si>
  <si>
    <t>Investimentos Fixos</t>
  </si>
  <si>
    <t>Capital de Giro(6 meses)</t>
  </si>
  <si>
    <t>Investimentos Pré-Operacionais</t>
  </si>
  <si>
    <t>Produto/Serviço</t>
  </si>
  <si>
    <t>Qtde (estimativa de vendas)</t>
  </si>
  <si>
    <t>Preço Unitário da Venda</t>
  </si>
  <si>
    <t>Faturamento Total</t>
  </si>
  <si>
    <t>Downloads Aplicativo</t>
  </si>
  <si>
    <t>9- Estimativa dos Custos Variáveis</t>
  </si>
  <si>
    <t>Matéria-Prima</t>
  </si>
  <si>
    <t xml:space="preserve">Quant </t>
  </si>
  <si>
    <t xml:space="preserve">Preço </t>
  </si>
  <si>
    <t xml:space="preserve">Preço Total </t>
  </si>
  <si>
    <t>10 - Apuração do custo de Matéria-Prima e Mercadorias Vendidas</t>
  </si>
  <si>
    <t>Estimativa de vendas</t>
  </si>
  <si>
    <t>Custo Unit de Mat. Prima</t>
  </si>
  <si>
    <t>Custo Mensal de Mat. Prima</t>
  </si>
  <si>
    <t>11 - Estimativa dos custos de comercialização</t>
  </si>
  <si>
    <t>%</t>
  </si>
  <si>
    <t>Faturamento Estimado</t>
  </si>
  <si>
    <t>Custo Total</t>
  </si>
  <si>
    <t>Cartão Crédito</t>
  </si>
  <si>
    <t>12 - Estimativa dos custos com Mão-de-Obra</t>
  </si>
  <si>
    <t>Função</t>
  </si>
  <si>
    <r>
      <rPr>
        <b/>
        <sz val="11"/>
        <color theme="1"/>
        <rFont val="Calibri"/>
      </rPr>
      <t>N</t>
    </r>
    <r>
      <rPr>
        <b/>
        <vertAlign val="superscript"/>
        <sz val="11"/>
        <color rgb="FF000000"/>
        <rFont val="Calibri"/>
      </rPr>
      <t>o</t>
    </r>
    <r>
      <rPr>
        <b/>
        <sz val="11"/>
        <color rgb="FF000000"/>
        <rFont val="Calibri"/>
      </rPr>
      <t xml:space="preserve"> de Empregados</t>
    </r>
  </si>
  <si>
    <t>Salário Mensal</t>
  </si>
  <si>
    <t>Subtotal</t>
  </si>
  <si>
    <t>% de Encargos Sociais</t>
  </si>
  <si>
    <t>Encargos Sociais</t>
  </si>
  <si>
    <t>Benefícios</t>
  </si>
  <si>
    <t>Total de custos com mão de Obra (mensal) - Levando em consideração o Simples Nacional</t>
  </si>
  <si>
    <t>13 - Estimativa de custo com Depreciação</t>
  </si>
  <si>
    <t>Ativos Fixos</t>
  </si>
  <si>
    <t>Quant.</t>
  </si>
  <si>
    <t>Valor do Bem</t>
  </si>
  <si>
    <t>Total em Bens</t>
  </si>
  <si>
    <t>Vida útil em anos</t>
  </si>
  <si>
    <t>Depreciação Anual</t>
  </si>
  <si>
    <t>Depreciação Mensal</t>
  </si>
  <si>
    <t>Total de custos com depreciação (mensal)</t>
  </si>
  <si>
    <t>14 - Estimativa de custos fixos operacionais mensais</t>
  </si>
  <si>
    <t>Custos mensais</t>
  </si>
  <si>
    <t>Custo Total Mensal</t>
  </si>
  <si>
    <t>Variáveis</t>
  </si>
  <si>
    <t>Fixos</t>
  </si>
  <si>
    <t>Demonstrativo de Resultados</t>
  </si>
  <si>
    <t>Planilhas</t>
  </si>
  <si>
    <t>Faturamento mensal</t>
  </si>
  <si>
    <t>Planilha 8</t>
  </si>
  <si>
    <t>1. Estimativa de Faturamento Mensal</t>
  </si>
  <si>
    <t>Lucratividade</t>
  </si>
  <si>
    <t>2. Custos Variáveis Totais</t>
  </si>
  <si>
    <t>Rentabilidade</t>
  </si>
  <si>
    <t>Devolve esse percentual do capital Investido ao mês</t>
  </si>
  <si>
    <t>Planilha 10</t>
  </si>
  <si>
    <t>Apuração do custo de Matéria-Prima e Mercadorias Vendidas</t>
  </si>
  <si>
    <t>Retorno do Investimento (Em meses)</t>
  </si>
  <si>
    <t>meses</t>
  </si>
  <si>
    <t>Planilha 11</t>
  </si>
  <si>
    <t>Estimativas de custo de Comercialização (impostos, cartão crédito, etc)</t>
  </si>
  <si>
    <t>3. Margem de Contribuição (1-2)</t>
  </si>
  <si>
    <t>Planilha 14</t>
  </si>
  <si>
    <t>4. Custos Fixos Totais</t>
  </si>
  <si>
    <t>5. Resultado Operacional (Lucro ou Prejuizo) (3-4)</t>
  </si>
  <si>
    <t>Ponto de Equilibrio</t>
  </si>
  <si>
    <t>Ponto de Equilibrio = Custo Fixo total / Indice da margem de Contribuição</t>
  </si>
  <si>
    <t>Indice da margem de Contribuição = Magem de Contribuição / Receita (estimativa de faturamento)</t>
  </si>
  <si>
    <t>APLICAÇÃO DAS FÓRMULAS ACIMA E RESULTADO DO PONTO DE EQUILIBRIO (PE)</t>
  </si>
  <si>
    <t>Indice da Margem de Contribuição</t>
  </si>
  <si>
    <t>Ponto de Equilíbrio</t>
  </si>
  <si>
    <t>Isso  quer dizer que quando a Autollar chegar ao faturamento de informado no Ponto de Equilibrio, estará cobrindo todos os custos da empresa e daí por diante não terá mais Prejuizo, somente Lucro.</t>
  </si>
  <si>
    <t>Lucratividade = Lucro Líquido/Receita Total x 100</t>
  </si>
  <si>
    <t>APLICAÇÃO DAS FÓRMULAS ACIMA E RESULTADO DO PERCENTUAL DE LUCRATIVIDADE</t>
  </si>
  <si>
    <t>Isso quer dizer que o Projeti tem a Lucratividade informada acima!</t>
  </si>
  <si>
    <t>Rentabilidade = Lucro Líquido/Investimento Total (para chegar ao percentual multiplica o result. por 100)</t>
  </si>
  <si>
    <t>APLICAÇÃO DA FÓRMULA ACIMA E RESULTADO DO PERCENTUAL DE LUCRATIVIDADE</t>
  </si>
  <si>
    <t>Isso quer dizer que a cada mês, os empresários recupera o perentual acima em relação ao valor investido através dos lucros obtidos no negócio!</t>
  </si>
  <si>
    <t>Prazo de Retorno do Investimento</t>
  </si>
  <si>
    <t>Prazo do Retorno no Investimento = Investimento Total / Lucro Liquido</t>
  </si>
  <si>
    <t>Isso quer dizer que após 2 meses no inicio de atividade da empresa, os empreededores terá recuperado, sob a forma de lucro, tudo o que gastou com a montagem da empresa!</t>
  </si>
  <si>
    <t>Licensas para publicação em plataformas</t>
  </si>
  <si>
    <t>OST para uso externo</t>
  </si>
  <si>
    <t xml:space="preserve">8- Estimativa de Faturamento Mensal </t>
  </si>
  <si>
    <t>Investimentos Fixos (Criacao, hospedagem e venda em site de jogo virtual)</t>
  </si>
  <si>
    <t>Criacao, hospedagem e venda em site de jogo virtual</t>
  </si>
  <si>
    <t>Depreciação</t>
  </si>
  <si>
    <t>Taxa para manter nas plataformas (steam, xbox, playstation e nintendo)</t>
  </si>
  <si>
    <t>Marketing Digital</t>
  </si>
  <si>
    <t>Mesa digitalizadora</t>
  </si>
  <si>
    <t>Devkits Nintendo Switch</t>
  </si>
  <si>
    <t>Softwares com licença perpétua</t>
  </si>
  <si>
    <t>Imposto para pessoa fisica</t>
  </si>
  <si>
    <t>FONTES:</t>
  </si>
  <si>
    <t>mesa digitalizadora: https://shopee.com.br/product/711046067/23493921788?gads_t_sig=VTJGc2RHVmtYMTlxTFVSVVRrdENkVHQ3ZkZSUTMrR3pBWmZZNzdrcnRBMDloYXZ0cG5TQ0d1ak02bU42bVdRalNnMEJzVWRqeTRyWHg5Q3pNNTg4Mnd4ZEpHcnlvZjFZalJzcjRmTW5VOVp3YXhpMHRkbVF2K056clJGakxVdGlKNmZpUFVkTDV3NlkxOUlSSEpQQWZBPT0                                                                                                                   Devkit nintendo: https://xsolla.com/blog/score-dev-kits-for-xbox-playstation-and-nintendo</t>
  </si>
  <si>
    <t>Servidor: https://www.dell.com/pt-br/shop/cty/pdp/spd/poweredge-r260/pe_r260_18399_bcc_1?tfcid=31768715&amp;gacd=9687031-14067-5761040-273175705-0&amp;dgc=ST&amp;sa360CID=71700000122700339&amp;gclsrc=aw.ds&amp;&amp;gad_source=1&amp;gad_campaignid=22726520047&amp;gclid=Cj0KCQjwwZDFBhCpARIsAB95qO3GfR84tpRPaPzqS0jQOibWHJBEzSL2DRUm2zaPI8IwieHz3FrRPhAaAtPTEALw_wcB</t>
  </si>
  <si>
    <t>Servidor Rack PowerEdge R260</t>
  </si>
  <si>
    <t>Mesa digitalizadora para finalização das artes, Devkits do nintendo switch para aplicação do jogo na plataforma da nintendo, um servidor local para armazenamento do jogo para evitar problemas de licensa e Licença de softwares variados como Photoshop e editores de video para criação de trailer etc</t>
  </si>
  <si>
    <t>https://store.steampowered.com/sub/163632/?l=portuguese</t>
  </si>
  <si>
    <t>Licensas para publicação em plataformas:</t>
  </si>
  <si>
    <t>https://gdevelop.io/page/how-to-publish-game-on-epic-games-store-and-why-you-should</t>
  </si>
  <si>
    <t>https://gamemaker.io/pt-BR/get</t>
  </si>
  <si>
    <t>https://froggyads.com/blog/average-cpm-for-online-advertising/?utm_source=chatgpt.com#average_cpm_for_online_advertising</t>
  </si>
  <si>
    <t>Numero total de impressões considerando o custo de 4,29 por mil impressões dá um total de 11.655.011.</t>
  </si>
  <si>
    <t>Fontes:</t>
  </si>
  <si>
    <t>https://v4company.com/marketing-digital/ctr</t>
  </si>
  <si>
    <t>https://vwo.com/blog/conversion-rate-and-click-through-rate-difference</t>
  </si>
  <si>
    <t>Calculo de vendas dos anuncios: (considere CTR de 1,815% e taxa de conversão de 1%)</t>
  </si>
  <si>
    <t>https://splicedonline.com/how-many-copies-does-the-average-game-on-steam-sell/</t>
  </si>
  <si>
    <t>Vendas naturais da steam, por mês:</t>
  </si>
  <si>
    <t>Nintendo (considerando que esse genero de jogo é conhecido pelas vendas nessa plataforma</t>
  </si>
  <si>
    <t>PlayStation Store</t>
  </si>
  <si>
    <t>Xbox Store</t>
  </si>
  <si>
    <t>Epic</t>
  </si>
  <si>
    <t>OST (considerando uma taxa baixa de 1%)</t>
  </si>
  <si>
    <t>A taxa de depreciação é dada como 0 pois nenhum dos itens comprados, se quebrarem no futuro não interferem no lucro do jogo, que já estará em venda</t>
  </si>
  <si>
    <t>Custo dominio e deixar o site online</t>
  </si>
  <si>
    <t>https://registro.br/dominio</t>
  </si>
  <si>
    <t>https://www.hostinger.com/br/hospedagem-de-sites?utm_campaign=Generic-Hosting|NT:Se|LO:BR&amp;utm_medium=ppc&amp;gad_source=1&amp;gad_campaignid=19605518140&amp;gclid=Cj0KCQjwwZDFBhCpARIsAB95qO2nfRgWLPHbGX3pD44ehZ9RmgdaOS63HiASc7a3R40SOwphFu7JnXcaAqKmEALw_wcB#pricing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</si>
</sst>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* #,##0_-;\-* #,##0_-;_-* &quot;-&quot;??_-;_-@"/>
    <numFmt numFmtId="166" formatCode="0.0%"/>
    <numFmt numFmtId="167" formatCode="#,##0_ ;[Red]\-#,##0\ 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0"/>
      <name val="Adobe Gothic Std B"/>
    </font>
    <font>
      <sz val="11"/>
      <name val="Calibri"/>
    </font>
    <font>
      <sz val="11"/>
      <color theme="1"/>
      <name val="Calibri"/>
    </font>
    <font>
      <b/>
      <sz val="16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6"/>
      <color rgb="FFFFFFFF"/>
      <name val="Calibri"/>
    </font>
    <font>
      <b/>
      <sz val="11"/>
      <color theme="1"/>
      <name val="Adobe Gothic Std B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sz val="11"/>
      <color rgb="FF000000"/>
      <name val="Calibri"/>
    </font>
    <font>
      <b/>
      <vertAlign val="superscript"/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3300"/>
        <bgColor rgb="FFFF33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B6DDE8"/>
        <bgColor rgb="FFB6DDE8"/>
      </patternFill>
    </fill>
    <fill>
      <patternFill patternType="solid">
        <fgColor rgb="FF1D1B10"/>
        <bgColor rgb="FF1D1B10"/>
      </patternFill>
    </fill>
    <fill>
      <patternFill patternType="solid">
        <fgColor rgb="FF8DB3E2"/>
        <bgColor rgb="FF8DB3E2"/>
      </patternFill>
    </fill>
    <fill>
      <patternFill patternType="solid">
        <fgColor theme="1"/>
        <bgColor theme="1"/>
      </patternFill>
    </fill>
    <fill>
      <patternFill patternType="solid">
        <fgColor rgb="FF95B3D7"/>
        <bgColor rgb="FF95B3D7"/>
      </patternFill>
    </fill>
    <fill>
      <patternFill patternType="solid">
        <fgColor rgb="FF00B0F0"/>
        <bgColor rgb="FF00B0F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9" xfId="0" applyFont="1" applyBorder="1"/>
    <xf numFmtId="8" fontId="4" fillId="0" borderId="9" xfId="0" applyNumberFormat="1" applyFont="1" applyBorder="1"/>
    <xf numFmtId="0" fontId="4" fillId="0" borderId="10" xfId="0" applyFont="1" applyBorder="1"/>
    <xf numFmtId="164" fontId="4" fillId="0" borderId="10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0" fontId="7" fillId="0" borderId="9" xfId="0" applyFont="1" applyBorder="1"/>
    <xf numFmtId="164" fontId="4" fillId="0" borderId="9" xfId="0" applyNumberFormat="1" applyFont="1" applyBorder="1" applyAlignment="1">
      <alignment horizontal="right"/>
    </xf>
    <xf numFmtId="0" fontId="7" fillId="0" borderId="13" xfId="0" applyFont="1" applyBorder="1"/>
    <xf numFmtId="0" fontId="4" fillId="0" borderId="14" xfId="0" applyFont="1" applyBorder="1"/>
    <xf numFmtId="164" fontId="4" fillId="3" borderId="18" xfId="0" applyNumberFormat="1" applyFont="1" applyFill="1" applyBorder="1"/>
    <xf numFmtId="8" fontId="4" fillId="3" borderId="19" xfId="0" applyNumberFormat="1" applyFont="1" applyFill="1" applyBorder="1"/>
    <xf numFmtId="0" fontId="5" fillId="2" borderId="21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right"/>
    </xf>
    <xf numFmtId="8" fontId="4" fillId="0" borderId="23" xfId="0" applyNumberFormat="1" applyFont="1" applyBorder="1" applyAlignment="1">
      <alignment horizontal="right"/>
    </xf>
    <xf numFmtId="8" fontId="4" fillId="0" borderId="19" xfId="0" applyNumberFormat="1" applyFont="1" applyBorder="1" applyAlignment="1">
      <alignment horizontal="right"/>
    </xf>
    <xf numFmtId="8" fontId="4" fillId="3" borderId="18" xfId="0" applyNumberFormat="1" applyFont="1" applyFill="1" applyBorder="1" applyAlignment="1">
      <alignment horizontal="left"/>
    </xf>
    <xf numFmtId="8" fontId="4" fillId="3" borderId="24" xfId="0" applyNumberFormat="1" applyFont="1" applyFill="1" applyBorder="1"/>
    <xf numFmtId="0" fontId="6" fillId="0" borderId="1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9" xfId="0" applyFont="1" applyBorder="1"/>
    <xf numFmtId="0" fontId="4" fillId="0" borderId="27" xfId="0" applyFont="1" applyBorder="1"/>
    <xf numFmtId="0" fontId="4" fillId="0" borderId="28" xfId="0" applyFont="1" applyBorder="1" applyAlignment="1">
      <alignment horizontal="center"/>
    </xf>
    <xf numFmtId="8" fontId="4" fillId="0" borderId="13" xfId="0" applyNumberFormat="1" applyFont="1" applyBorder="1"/>
    <xf numFmtId="0" fontId="4" fillId="0" borderId="29" xfId="0" applyFont="1" applyBorder="1" applyAlignment="1">
      <alignment horizontal="center"/>
    </xf>
    <xf numFmtId="0" fontId="4" fillId="0" borderId="30" xfId="0" applyFont="1" applyBorder="1"/>
    <xf numFmtId="164" fontId="4" fillId="0" borderId="31" xfId="0" applyNumberFormat="1" applyFont="1" applyBorder="1"/>
    <xf numFmtId="0" fontId="4" fillId="0" borderId="32" xfId="0" applyFont="1" applyBorder="1" applyAlignment="1">
      <alignment horizontal="center"/>
    </xf>
    <xf numFmtId="8" fontId="4" fillId="3" borderId="9" xfId="0" applyNumberFormat="1" applyFont="1" applyFill="1" applyBorder="1"/>
    <xf numFmtId="0" fontId="9" fillId="4" borderId="34" xfId="0" applyFont="1" applyFill="1" applyBorder="1"/>
    <xf numFmtId="0" fontId="9" fillId="4" borderId="35" xfId="0" applyFont="1" applyFill="1" applyBorder="1"/>
    <xf numFmtId="0" fontId="4" fillId="0" borderId="36" xfId="0" applyFont="1" applyBorder="1"/>
    <xf numFmtId="164" fontId="4" fillId="0" borderId="11" xfId="0" applyNumberFormat="1" applyFont="1" applyBorder="1"/>
    <xf numFmtId="0" fontId="4" fillId="0" borderId="12" xfId="0" applyFont="1" applyBorder="1"/>
    <xf numFmtId="164" fontId="4" fillId="0" borderId="37" xfId="0" applyNumberFormat="1" applyFont="1" applyBorder="1"/>
    <xf numFmtId="164" fontId="4" fillId="0" borderId="0" xfId="0" applyNumberFormat="1" applyFont="1"/>
    <xf numFmtId="164" fontId="4" fillId="3" borderId="9" xfId="0" applyNumberFormat="1" applyFont="1" applyFill="1" applyBorder="1"/>
    <xf numFmtId="164" fontId="4" fillId="3" borderId="24" xfId="0" applyNumberFormat="1" applyFont="1" applyFill="1" applyBorder="1"/>
    <xf numFmtId="0" fontId="6" fillId="5" borderId="21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8" fontId="4" fillId="5" borderId="39" xfId="0" applyNumberFormat="1" applyFont="1" applyFill="1" applyBorder="1" applyAlignment="1">
      <alignment horizontal="center" vertical="center"/>
    </xf>
    <xf numFmtId="9" fontId="4" fillId="5" borderId="39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8" fontId="4" fillId="5" borderId="9" xfId="0" applyNumberFormat="1" applyFont="1" applyFill="1" applyBorder="1" applyAlignment="1">
      <alignment horizontal="center" vertical="center"/>
    </xf>
    <xf numFmtId="9" fontId="4" fillId="5" borderId="9" xfId="0" applyNumberFormat="1" applyFont="1" applyFill="1" applyBorder="1" applyAlignment="1">
      <alignment horizontal="center" vertical="center"/>
    </xf>
    <xf numFmtId="8" fontId="6" fillId="6" borderId="40" xfId="0" applyNumberFormat="1" applyFont="1" applyFill="1" applyBorder="1" applyAlignment="1">
      <alignment horizontal="center"/>
    </xf>
    <xf numFmtId="0" fontId="4" fillId="4" borderId="41" xfId="0" applyFont="1" applyFill="1" applyBorder="1"/>
    <xf numFmtId="0" fontId="6" fillId="0" borderId="9" xfId="0" applyFont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9" xfId="0" applyNumberFormat="1" applyFont="1" applyBorder="1"/>
    <xf numFmtId="164" fontId="4" fillId="0" borderId="9" xfId="0" applyNumberFormat="1" applyFont="1" applyBorder="1" applyAlignment="1">
      <alignment horizontal="center"/>
    </xf>
    <xf numFmtId="3" fontId="4" fillId="0" borderId="9" xfId="0" applyNumberFormat="1" applyFont="1" applyBorder="1"/>
    <xf numFmtId="0" fontId="4" fillId="0" borderId="9" xfId="0" applyFont="1" applyBorder="1" applyAlignment="1">
      <alignment horizontal="left"/>
    </xf>
    <xf numFmtId="3" fontId="4" fillId="0" borderId="0" xfId="0" applyNumberFormat="1" applyFont="1"/>
    <xf numFmtId="3" fontId="4" fillId="0" borderId="42" xfId="0" applyNumberFormat="1" applyFont="1" applyBorder="1"/>
    <xf numFmtId="164" fontId="4" fillId="0" borderId="42" xfId="0" applyNumberFormat="1" applyFont="1" applyBorder="1" applyAlignment="1">
      <alignment horizontal="center"/>
    </xf>
    <xf numFmtId="164" fontId="4" fillId="0" borderId="42" xfId="0" applyNumberFormat="1" applyFont="1" applyBorder="1" applyAlignment="1">
      <alignment horizontal="right"/>
    </xf>
    <xf numFmtId="0" fontId="4" fillId="0" borderId="42" xfId="0" applyFont="1" applyBorder="1"/>
    <xf numFmtId="8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11" fillId="8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0" xfId="0" applyFont="1"/>
    <xf numFmtId="3" fontId="6" fillId="0" borderId="0" xfId="0" applyNumberFormat="1" applyFont="1"/>
    <xf numFmtId="0" fontId="6" fillId="0" borderId="9" xfId="0" applyFont="1" applyBorder="1" applyAlignment="1">
      <alignment horizontal="center" vertical="center" wrapText="1"/>
    </xf>
    <xf numFmtId="8" fontId="4" fillId="0" borderId="9" xfId="0" applyNumberFormat="1" applyFont="1" applyBorder="1" applyAlignment="1">
      <alignment horizontal="right"/>
    </xf>
    <xf numFmtId="0" fontId="6" fillId="4" borderId="41" xfId="0" applyFont="1" applyFill="1" applyBorder="1" applyAlignment="1">
      <alignment horizontal="center"/>
    </xf>
    <xf numFmtId="3" fontId="6" fillId="4" borderId="41" xfId="0" applyNumberFormat="1" applyFont="1" applyFill="1" applyBorder="1" applyAlignment="1">
      <alignment horizontal="center"/>
    </xf>
    <xf numFmtId="3" fontId="4" fillId="4" borderId="41" xfId="0" applyNumberFormat="1" applyFont="1" applyFill="1" applyBorder="1"/>
    <xf numFmtId="166" fontId="4" fillId="0" borderId="9" xfId="0" applyNumberFormat="1" applyFont="1" applyBorder="1"/>
    <xf numFmtId="164" fontId="4" fillId="0" borderId="9" xfId="0" applyNumberFormat="1" applyFont="1" applyBorder="1"/>
    <xf numFmtId="0" fontId="4" fillId="0" borderId="0" xfId="0" applyFont="1" applyAlignment="1">
      <alignment horizontal="center"/>
    </xf>
    <xf numFmtId="8" fontId="4" fillId="4" borderId="41" xfId="0" applyNumberFormat="1" applyFont="1" applyFill="1" applyBorder="1"/>
    <xf numFmtId="0" fontId="4" fillId="4" borderId="47" xfId="0" applyFont="1" applyFill="1" applyBorder="1"/>
    <xf numFmtId="0" fontId="4" fillId="9" borderId="47" xfId="0" applyFont="1" applyFill="1" applyBorder="1"/>
    <xf numFmtId="8" fontId="4" fillId="0" borderId="9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8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6" fillId="0" borderId="4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49" xfId="0" applyFont="1" applyBorder="1"/>
    <xf numFmtId="164" fontId="4" fillId="0" borderId="9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center"/>
    </xf>
    <xf numFmtId="164" fontId="4" fillId="3" borderId="50" xfId="0" applyNumberFormat="1" applyFont="1" applyFill="1" applyBorder="1"/>
    <xf numFmtId="0" fontId="4" fillId="10" borderId="9" xfId="0" applyFont="1" applyFill="1" applyBorder="1"/>
    <xf numFmtId="8" fontId="4" fillId="10" borderId="9" xfId="0" applyNumberFormat="1" applyFont="1" applyFill="1" applyBorder="1"/>
    <xf numFmtId="164" fontId="4" fillId="10" borderId="9" xfId="0" applyNumberFormat="1" applyFont="1" applyFill="1" applyBorder="1"/>
    <xf numFmtId="0" fontId="10" fillId="7" borderId="9" xfId="0" applyFont="1" applyFill="1" applyBorder="1" applyAlignment="1">
      <alignment horizontal="center"/>
    </xf>
    <xf numFmtId="0" fontId="4" fillId="11" borderId="41" xfId="0" applyFont="1" applyFill="1" applyBorder="1"/>
    <xf numFmtId="0" fontId="5" fillId="7" borderId="9" xfId="0" applyFont="1" applyFill="1" applyBorder="1" applyAlignment="1">
      <alignment horizontal="center" vertical="center" wrapText="1"/>
    </xf>
    <xf numFmtId="0" fontId="12" fillId="7" borderId="21" xfId="0" applyFont="1" applyFill="1" applyBorder="1"/>
    <xf numFmtId="0" fontId="10" fillId="7" borderId="7" xfId="0" applyFont="1" applyFill="1" applyBorder="1" applyAlignment="1">
      <alignment horizontal="left"/>
    </xf>
    <xf numFmtId="164" fontId="12" fillId="7" borderId="51" xfId="0" applyNumberFormat="1" applyFont="1" applyFill="1" applyBorder="1" applyAlignment="1">
      <alignment horizontal="right"/>
    </xf>
    <xf numFmtId="9" fontId="4" fillId="7" borderId="8" xfId="0" applyNumberFormat="1" applyFont="1" applyFill="1" applyBorder="1" applyAlignment="1">
      <alignment horizontal="center"/>
    </xf>
    <xf numFmtId="9" fontId="4" fillId="12" borderId="9" xfId="0" applyNumberFormat="1" applyFont="1" applyFill="1" applyBorder="1" applyAlignment="1">
      <alignment horizontal="center" vertical="center"/>
    </xf>
    <xf numFmtId="164" fontId="4" fillId="12" borderId="9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164" fontId="4" fillId="0" borderId="11" xfId="0" applyNumberFormat="1" applyFont="1" applyBorder="1" applyAlignment="1">
      <alignment horizontal="center"/>
    </xf>
    <xf numFmtId="9" fontId="4" fillId="12" borderId="9" xfId="0" applyNumberFormat="1" applyFont="1" applyFill="1" applyBorder="1" applyAlignment="1">
      <alignment horizontal="center" vertical="center" wrapText="1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left"/>
    </xf>
    <xf numFmtId="1" fontId="4" fillId="12" borderId="9" xfId="0" applyNumberFormat="1" applyFont="1" applyFill="1" applyBorder="1" applyAlignment="1">
      <alignment horizontal="center" vertical="center"/>
    </xf>
    <xf numFmtId="164" fontId="4" fillId="0" borderId="52" xfId="0" applyNumberFormat="1" applyFont="1" applyBorder="1" applyAlignment="1">
      <alignment horizontal="center"/>
    </xf>
    <xf numFmtId="0" fontId="4" fillId="0" borderId="54" xfId="0" applyFont="1" applyBorder="1"/>
    <xf numFmtId="0" fontId="6" fillId="0" borderId="14" xfId="0" applyFont="1" applyBorder="1"/>
    <xf numFmtId="8" fontId="4" fillId="0" borderId="14" xfId="0" applyNumberFormat="1" applyFont="1" applyBorder="1"/>
    <xf numFmtId="9" fontId="4" fillId="0" borderId="55" xfId="0" applyNumberFormat="1" applyFont="1" applyBorder="1" applyAlignment="1">
      <alignment horizontal="center"/>
    </xf>
    <xf numFmtId="0" fontId="4" fillId="0" borderId="56" xfId="0" applyFont="1" applyBorder="1"/>
    <xf numFmtId="164" fontId="4" fillId="0" borderId="37" xfId="0" applyNumberFormat="1" applyFont="1" applyBorder="1" applyAlignment="1">
      <alignment horizontal="right"/>
    </xf>
    <xf numFmtId="164" fontId="4" fillId="0" borderId="57" xfId="0" applyNumberFormat="1" applyFont="1" applyBorder="1" applyAlignment="1">
      <alignment horizontal="center"/>
    </xf>
    <xf numFmtId="0" fontId="4" fillId="0" borderId="21" xfId="0" applyFont="1" applyBorder="1"/>
    <xf numFmtId="0" fontId="6" fillId="0" borderId="7" xfId="0" applyFont="1" applyBorder="1" applyAlignment="1">
      <alignment horizontal="left"/>
    </xf>
    <xf numFmtId="164" fontId="4" fillId="0" borderId="7" xfId="0" applyNumberFormat="1" applyFont="1" applyBorder="1" applyAlignment="1">
      <alignment horizontal="right"/>
    </xf>
    <xf numFmtId="9" fontId="4" fillId="0" borderId="8" xfId="0" applyNumberFormat="1" applyFont="1" applyBorder="1" applyAlignment="1">
      <alignment horizontal="center"/>
    </xf>
    <xf numFmtId="0" fontId="12" fillId="7" borderId="58" xfId="0" applyFont="1" applyFill="1" applyBorder="1"/>
    <xf numFmtId="0" fontId="10" fillId="7" borderId="59" xfId="0" applyFont="1" applyFill="1" applyBorder="1" applyAlignment="1">
      <alignment horizontal="left"/>
    </xf>
    <xf numFmtId="164" fontId="12" fillId="7" borderId="18" xfId="0" applyNumberFormat="1" applyFont="1" applyFill="1" applyBorder="1" applyAlignment="1">
      <alignment horizontal="right"/>
    </xf>
    <xf numFmtId="9" fontId="12" fillId="7" borderId="60" xfId="0" applyNumberFormat="1" applyFont="1" applyFill="1" applyBorder="1" applyAlignment="1">
      <alignment horizontal="center"/>
    </xf>
    <xf numFmtId="8" fontId="13" fillId="0" borderId="0" xfId="0" applyNumberFormat="1" applyFont="1"/>
    <xf numFmtId="0" fontId="6" fillId="0" borderId="10" xfId="0" applyFont="1" applyBorder="1" applyAlignment="1">
      <alignment horizontal="center"/>
    </xf>
    <xf numFmtId="0" fontId="11" fillId="13" borderId="64" xfId="0" applyFont="1" applyFill="1" applyBorder="1" applyAlignment="1">
      <alignment horizontal="center"/>
    </xf>
    <xf numFmtId="0" fontId="6" fillId="0" borderId="65" xfId="0" applyFont="1" applyBorder="1"/>
    <xf numFmtId="0" fontId="6" fillId="0" borderId="22" xfId="0" applyFont="1" applyBorder="1" applyAlignment="1">
      <alignment horizontal="center"/>
    </xf>
    <xf numFmtId="164" fontId="11" fillId="13" borderId="64" xfId="0" applyNumberFormat="1" applyFont="1" applyFill="1" applyBorder="1" applyAlignment="1">
      <alignment horizontal="center"/>
    </xf>
    <xf numFmtId="0" fontId="6" fillId="0" borderId="66" xfId="0" applyFont="1" applyBorder="1"/>
    <xf numFmtId="9" fontId="4" fillId="13" borderId="67" xfId="0" applyNumberFormat="1" applyFont="1" applyFill="1" applyBorder="1" applyAlignment="1">
      <alignment horizontal="center"/>
    </xf>
    <xf numFmtId="1" fontId="4" fillId="13" borderId="67" xfId="0" applyNumberFormat="1" applyFont="1" applyFill="1" applyBorder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4" fillId="4" borderId="46" xfId="0" applyFont="1" applyFill="1" applyBorder="1"/>
    <xf numFmtId="0" fontId="8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20" xfId="0" applyFont="1" applyBorder="1"/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3" xfId="0" applyFont="1" applyBorder="1"/>
    <xf numFmtId="0" fontId="5" fillId="2" borderId="15" xfId="0" applyFont="1" applyFill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33" xfId="0" applyFont="1" applyBorder="1"/>
    <xf numFmtId="0" fontId="6" fillId="4" borderId="44" xfId="0" applyFont="1" applyFill="1" applyBorder="1" applyAlignment="1">
      <alignment horizontal="center"/>
    </xf>
    <xf numFmtId="0" fontId="3" fillId="0" borderId="45" xfId="0" applyFont="1" applyBorder="1"/>
    <xf numFmtId="0" fontId="3" fillId="0" borderId="46" xfId="0" applyFont="1" applyBorder="1"/>
    <xf numFmtId="0" fontId="6" fillId="8" borderId="29" xfId="0" applyFont="1" applyFill="1" applyBorder="1" applyAlignment="1">
      <alignment horizontal="center"/>
    </xf>
    <xf numFmtId="0" fontId="3" fillId="0" borderId="43" xfId="0" applyFont="1" applyBorder="1"/>
    <xf numFmtId="0" fontId="3" fillId="0" borderId="13" xfId="0" applyFont="1" applyBorder="1"/>
    <xf numFmtId="0" fontId="5" fillId="7" borderId="44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13" borderId="61" xfId="0" applyFont="1" applyFill="1" applyBorder="1" applyAlignment="1">
      <alignment horizontal="center"/>
    </xf>
    <xf numFmtId="0" fontId="3" fillId="0" borderId="62" xfId="0" applyFont="1" applyBorder="1"/>
    <xf numFmtId="0" fontId="3" fillId="0" borderId="63" xfId="0" applyFont="1" applyBorder="1"/>
    <xf numFmtId="9" fontId="6" fillId="0" borderId="68" xfId="0" applyNumberFormat="1" applyFont="1" applyBorder="1"/>
    <xf numFmtId="0" fontId="3" fillId="0" borderId="66" xfId="0" applyFont="1" applyBorder="1"/>
    <xf numFmtId="0" fontId="5" fillId="7" borderId="1" xfId="0" applyFont="1" applyFill="1" applyBorder="1" applyAlignment="1">
      <alignment horizontal="center"/>
    </xf>
    <xf numFmtId="1" fontId="6" fillId="0" borderId="68" xfId="0" applyNumberFormat="1" applyFont="1" applyBorder="1"/>
    <xf numFmtId="164" fontId="4" fillId="12" borderId="29" xfId="0" applyNumberFormat="1" applyFont="1" applyFill="1" applyBorder="1" applyAlignment="1">
      <alignment horizontal="center" vertical="center"/>
    </xf>
    <xf numFmtId="8" fontId="4" fillId="0" borderId="30" xfId="0" applyNumberFormat="1" applyFont="1" applyBorder="1" applyAlignment="1">
      <alignment horizontal="center"/>
    </xf>
    <xf numFmtId="0" fontId="3" fillId="0" borderId="10" xfId="0" applyFont="1" applyBorder="1"/>
    <xf numFmtId="0" fontId="17" fillId="0" borderId="0" xfId="0" applyFont="1"/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" fillId="0" borderId="0" xfId="0" applyFont="1"/>
    <xf numFmtId="0" fontId="16" fillId="0" borderId="0" xfId="0" applyFont="1"/>
    <xf numFmtId="0" fontId="16" fillId="0" borderId="0" xfId="0" applyFont="1" applyAlignment="1">
      <alignment vertical="top" wrapText="1"/>
    </xf>
    <xf numFmtId="0" fontId="1" fillId="0" borderId="69" xfId="0" applyFont="1" applyBorder="1" applyAlignment="1">
      <alignment horizontal="left" vertical="top" wrapText="1"/>
    </xf>
    <xf numFmtId="0" fontId="18" fillId="0" borderId="0" xfId="0" applyFont="1"/>
    <xf numFmtId="0" fontId="19" fillId="0" borderId="0" xfId="1"/>
    <xf numFmtId="0" fontId="1" fillId="0" borderId="0" xfId="0" applyFont="1" applyAlignment="1">
      <alignment horizontal="left" vertical="top" wrapText="1"/>
    </xf>
    <xf numFmtId="3" fontId="16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17" fillId="0" borderId="0" xfId="0" applyFont="1" applyAlignment="1">
      <alignment horizontal="left"/>
    </xf>
    <xf numFmtId="0" fontId="16" fillId="0" borderId="9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pt-BR" sz="1600" b="1" i="0">
                <a:solidFill>
                  <a:schemeClr val="lt1"/>
                </a:solidFill>
                <a:latin typeface="+mn-lt"/>
              </a:rPr>
              <a:t>Investimento Total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CB6-4626-B356-C19924385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CB6-4626-B356-C19924385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CB6-4626-B356-C1992438562D}"/>
              </c:ext>
            </c:extLst>
          </c:dPt>
          <c:dLbls>
            <c:dLbl>
              <c:idx val="0"/>
              <c:tx>
                <c:strRef>
                  <c:f>'Investimento Total'!$C$3</c:f>
                  <c:strCache>
                    <c:ptCount val="1"/>
                    <c:pt idx="0">
                      <c:v>4%</c:v>
                    </c:pt>
                  </c:strCache>
                </c:strRef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{1C71FF76-E06C-46D0-A666-A7E4224EF989}</c15:txfldGUID>
                      <c15:f>'Investimento Total'!$C$3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CB6-4626-B356-C1992438562D}"/>
                </c:ext>
              </c:extLst>
            </c:dLbl>
            <c:dLbl>
              <c:idx val="1"/>
              <c:tx>
                <c:strRef>
                  <c:f>'Investimento Total'!$C$4</c:f>
                  <c:strCache>
                    <c:ptCount val="1"/>
                    <c:pt idx="0">
                      <c:v>84%</c:v>
                    </c:pt>
                  </c:strCache>
                </c:strRef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{6F0BAB33-F27F-432A-A784-88387B03C126}</c15:txfldGUID>
                      <c15:f>'Investimento Total'!$C$4</c15:f>
                      <c15:dlblFieldTableCache>
                        <c:ptCount val="1"/>
                        <c:pt idx="0">
                          <c:v>84%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CB6-4626-B356-C1992438562D}"/>
                </c:ext>
              </c:extLst>
            </c:dLbl>
            <c:dLbl>
              <c:idx val="2"/>
              <c:tx>
                <c:strRef>
                  <c:f>'Investimento Total'!$C$5</c:f>
                  <c:strCache>
                    <c:ptCount val="1"/>
                    <c:pt idx="0">
                      <c:v>12%</c:v>
                    </c:pt>
                  </c:strCache>
                </c:strRef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{F77F3B12-4C4A-4BDB-89C4-7C1385D96D9D}</c15:txfldGUID>
                      <c15:f>'Investimento Total'!$C$5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CB6-4626-B356-C199243856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'Investimento Total'!$A$3:$A$5</c:f>
              <c:strCache>
                <c:ptCount val="3"/>
                <c:pt idx="0">
                  <c:v>Investimentos Fixos</c:v>
                </c:pt>
                <c:pt idx="1">
                  <c:v>Capital de Giro(6 meses)</c:v>
                </c:pt>
                <c:pt idx="2">
                  <c:v>Investimentos Pré-Operacionais</c:v>
                </c:pt>
              </c:strCache>
            </c:strRef>
          </c:cat>
          <c:val>
            <c:numRef>
              <c:f>'Investimento Total'!$B$3:$B$5</c:f>
              <c:numCache>
                <c:formatCode>"R$"#,##0.00_);[Red]\("R$"#,##0.00\)</c:formatCode>
                <c:ptCount val="3"/>
                <c:pt idx="0">
                  <c:v>14977.23</c:v>
                </c:pt>
                <c:pt idx="1">
                  <c:v>354808.38</c:v>
                </c:pt>
                <c:pt idx="2">
                  <c:v>51345.66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6-4626-B356-C1992438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pt-BR" sz="1600" b="1" i="0">
                <a:solidFill>
                  <a:schemeClr val="lt1"/>
                </a:solidFill>
                <a:latin typeface="+mn-lt"/>
              </a:rPr>
              <a:t>Custos Mensais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93F-482C-B870-9BF829E3D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93F-482C-B870-9BF829E3DA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100" b="0" i="0">
                        <a:solidFill>
                          <a:schemeClr val="lt1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93F-482C-B870-9BF829E3DA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93F-482C-B870-9BF829E3DA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'cont... custos'!$D$24:$D$25</c:f>
              <c:strCache>
                <c:ptCount val="2"/>
                <c:pt idx="0">
                  <c:v>Variáveis</c:v>
                </c:pt>
                <c:pt idx="1">
                  <c:v>Fixos</c:v>
                </c:pt>
              </c:strCache>
            </c:strRef>
          </c:cat>
          <c:val>
            <c:numRef>
              <c:f>'cont... custos'!$E$24:$E$25</c:f>
              <c:numCache>
                <c:formatCode>_-"R$"\ * #,##0.00_-;\-"R$"\ * #,##0.00_-;_-"R$"\ * "-"??_-;_-@</c:formatCode>
                <c:ptCount val="2"/>
                <c:pt idx="0" formatCode="&quot;R$&quot;#,##0.00_);[Red]\(&quot;R$&quot;#,##0.00\)">
                  <c:v>59118.400000000001</c:v>
                </c:pt>
                <c:pt idx="1">
                  <c:v>16.329999999999998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F-482C-B870-9BF829E3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1</xdr:row>
      <xdr:rowOff>28575</xdr:rowOff>
    </xdr:from>
    <xdr:ext cx="4810125" cy="3076575"/>
    <xdr:graphicFrame macro="">
      <xdr:nvGraphicFramePr>
        <xdr:cNvPr id="1232827601" name="Chart 1">
          <a:extLst>
            <a:ext uri="{FF2B5EF4-FFF2-40B4-BE49-F238E27FC236}">
              <a16:creationId xmlns:a16="http://schemas.microsoft.com/office/drawing/2014/main" id="{00000000-0008-0000-0300-0000D1747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1200150</xdr:colOff>
      <xdr:row>26</xdr:row>
      <xdr:rowOff>123825</xdr:rowOff>
    </xdr:from>
    <xdr:ext cx="4591050" cy="3000375"/>
    <xdr:graphicFrame macro="">
      <xdr:nvGraphicFramePr>
        <xdr:cNvPr id="686876070" name="Chart 2">
          <a:extLst>
            <a:ext uri="{FF2B5EF4-FFF2-40B4-BE49-F238E27FC236}">
              <a16:creationId xmlns:a16="http://schemas.microsoft.com/office/drawing/2014/main" id="{00000000-0008-0000-0500-0000A6E5F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plicedonline.com/how-many-copies-does-the-average-game-on-steam-sel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egistro.br/domin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Z1004"/>
  <sheetViews>
    <sheetView workbookViewId="0">
      <selection activeCell="E18" sqref="E18"/>
    </sheetView>
  </sheetViews>
  <sheetFormatPr defaultColWidth="14.44140625" defaultRowHeight="15" customHeight="1"/>
  <cols>
    <col min="1" max="1" width="9.109375" customWidth="1"/>
    <col min="2" max="2" width="43.6640625" customWidth="1"/>
    <col min="3" max="3" width="10.5546875" customWidth="1"/>
    <col min="4" max="4" width="12.33203125" customWidth="1"/>
    <col min="5" max="5" width="12.109375" customWidth="1"/>
    <col min="6" max="6" width="9.109375" customWidth="1"/>
    <col min="7" max="7" width="27.44140625" customWidth="1"/>
    <col min="8" max="8" width="9.109375" customWidth="1"/>
    <col min="9" max="9" width="13.33203125" customWidth="1"/>
    <col min="10" max="10" width="16" customWidth="1"/>
    <col min="11" max="26" width="9.109375" customWidth="1"/>
  </cols>
  <sheetData>
    <row r="1" spans="1:26" ht="21">
      <c r="A1" s="149" t="s">
        <v>105</v>
      </c>
      <c r="B1" s="146"/>
      <c r="C1" s="146"/>
      <c r="D1" s="146"/>
      <c r="E1" s="146"/>
      <c r="F1" s="146"/>
      <c r="G1" s="146"/>
      <c r="H1" s="146"/>
      <c r="I1" s="146"/>
      <c r="J1" s="15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>
      <c r="A3" s="1"/>
      <c r="B3" s="148" t="s">
        <v>0</v>
      </c>
      <c r="C3" s="146"/>
      <c r="D3" s="146"/>
      <c r="E3" s="150"/>
      <c r="F3" s="1"/>
      <c r="G3" s="148" t="s">
        <v>1</v>
      </c>
      <c r="H3" s="146"/>
      <c r="I3" s="146"/>
      <c r="J3" s="15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thickBot="1">
      <c r="A4" s="1"/>
      <c r="B4" s="2" t="s">
        <v>2</v>
      </c>
      <c r="C4" s="3" t="s">
        <v>3</v>
      </c>
      <c r="D4" s="3" t="s">
        <v>4</v>
      </c>
      <c r="E4" s="4" t="s">
        <v>5</v>
      </c>
      <c r="F4" s="1"/>
      <c r="G4" s="2" t="s">
        <v>2</v>
      </c>
      <c r="H4" s="5" t="s">
        <v>3</v>
      </c>
      <c r="I4" s="5"/>
      <c r="J4" s="6" t="s">
        <v>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t="s">
        <v>110</v>
      </c>
      <c r="C5" s="7">
        <v>1</v>
      </c>
      <c r="D5" s="8">
        <v>1499.44</v>
      </c>
      <c r="E5" s="8">
        <f t="shared" ref="E5:E9" si="0">C5*D5</f>
        <v>1499.44</v>
      </c>
      <c r="F5" s="1"/>
      <c r="G5" s="7"/>
      <c r="H5" s="9"/>
      <c r="I5" s="10"/>
      <c r="J5" s="11">
        <f t="shared" ref="J5:J8" si="1">H5*I5</f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C6" s="7"/>
      <c r="D6" s="8"/>
      <c r="E6" s="8"/>
      <c r="F6" s="1"/>
      <c r="G6" s="7"/>
      <c r="H6" s="7"/>
      <c r="I6" s="13"/>
      <c r="J6" s="11">
        <f t="shared" si="1"/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t="s">
        <v>111</v>
      </c>
      <c r="C7" s="7">
        <v>1</v>
      </c>
      <c r="D7" s="8">
        <v>2477.79</v>
      </c>
      <c r="E7" s="8">
        <f t="shared" si="0"/>
        <v>2477.79</v>
      </c>
      <c r="F7" s="1"/>
      <c r="G7" s="7"/>
      <c r="H7" s="7"/>
      <c r="I7" s="13"/>
      <c r="J7" s="11">
        <f t="shared" si="1"/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77" t="s">
        <v>117</v>
      </c>
      <c r="C8" s="7">
        <v>1</v>
      </c>
      <c r="D8" s="8">
        <v>6000</v>
      </c>
      <c r="E8" s="8">
        <f t="shared" si="0"/>
        <v>6000</v>
      </c>
      <c r="F8" s="1"/>
      <c r="G8" s="12"/>
      <c r="H8" s="7"/>
      <c r="I8" s="13"/>
      <c r="J8" s="11">
        <f t="shared" si="1"/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t="s">
        <v>112</v>
      </c>
      <c r="C9" s="7">
        <v>1</v>
      </c>
      <c r="D9" s="8">
        <v>5000</v>
      </c>
      <c r="E9" s="8">
        <f t="shared" si="0"/>
        <v>5000</v>
      </c>
      <c r="F9" s="1"/>
      <c r="G9" s="7"/>
      <c r="H9" s="7"/>
      <c r="I9" s="13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thickBot="1">
      <c r="A10" s="1"/>
      <c r="B10" s="14"/>
      <c r="C10" s="7"/>
      <c r="D10" s="8"/>
      <c r="E10" s="8"/>
      <c r="F10" s="1"/>
      <c r="G10" s="7"/>
      <c r="H10" s="15"/>
      <c r="I10" s="13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>
      <c r="A11" s="1"/>
      <c r="B11" s="12"/>
      <c r="C11" s="7"/>
      <c r="D11" s="8"/>
      <c r="E11" s="8"/>
      <c r="F11" s="1"/>
      <c r="G11" s="151" t="s">
        <v>5</v>
      </c>
      <c r="H11" s="152"/>
      <c r="I11" s="153"/>
      <c r="J11" s="16">
        <f>SUM(J5:J10)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>
      <c r="A12" s="1"/>
      <c r="B12" s="151" t="s">
        <v>5</v>
      </c>
      <c r="C12" s="152"/>
      <c r="D12" s="153"/>
      <c r="E12" s="17">
        <f>SUM(E5:E11)</f>
        <v>14977.23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6" thickBot="1">
      <c r="A13" s="1"/>
      <c r="B13" s="1"/>
      <c r="C13" s="1"/>
      <c r="D13" s="1"/>
      <c r="E13" s="1"/>
      <c r="F13" s="1"/>
      <c r="G13" s="145" t="s">
        <v>6</v>
      </c>
      <c r="H13" s="146"/>
      <c r="I13" s="147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thickBot="1">
      <c r="A14" s="1"/>
      <c r="B14" s="176" t="s">
        <v>118</v>
      </c>
      <c r="C14" s="176"/>
      <c r="D14" s="176"/>
      <c r="E14" s="1"/>
      <c r="F14" s="1"/>
      <c r="G14" s="19" t="s">
        <v>2</v>
      </c>
      <c r="H14" s="5" t="s">
        <v>3</v>
      </c>
      <c r="I14" s="5" t="s">
        <v>4</v>
      </c>
      <c r="J14" s="6" t="s">
        <v>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thickBot="1">
      <c r="A15" s="1"/>
      <c r="B15" s="176"/>
      <c r="C15" s="176"/>
      <c r="D15" s="176"/>
      <c r="E15" s="1"/>
      <c r="F15" s="1"/>
      <c r="G15" s="20"/>
      <c r="H15" s="21"/>
      <c r="I15" s="22"/>
      <c r="J15" s="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thickBot="1">
      <c r="A16" s="1"/>
      <c r="B16" s="176"/>
      <c r="C16" s="176"/>
      <c r="D16" s="176"/>
      <c r="E16" s="1"/>
      <c r="F16" s="1"/>
      <c r="G16" s="148" t="s">
        <v>5</v>
      </c>
      <c r="H16" s="146"/>
      <c r="I16" s="147"/>
      <c r="J16" s="24">
        <f>SUM(J15)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76"/>
      <c r="C17" s="176"/>
      <c r="D17" s="17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thickBot="1">
      <c r="A18" s="1"/>
      <c r="B18" s="176"/>
      <c r="C18" s="176"/>
      <c r="D18" s="17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6" thickBot="1">
      <c r="A19" s="1"/>
      <c r="B19" s="176"/>
      <c r="C19" s="176"/>
      <c r="D19" s="176"/>
      <c r="E19" s="1"/>
      <c r="F19" s="1"/>
      <c r="G19" s="148" t="s">
        <v>7</v>
      </c>
      <c r="H19" s="146"/>
      <c r="I19" s="147"/>
      <c r="J19" s="25">
        <f>E12+J11+J16+E19</f>
        <v>14977.23</v>
      </c>
      <c r="K19" s="1"/>
      <c r="L19" s="174" t="s">
        <v>114</v>
      </c>
      <c r="M19" s="176" t="s">
        <v>115</v>
      </c>
      <c r="N19" s="175"/>
      <c r="O19" s="175"/>
      <c r="P19" s="175"/>
      <c r="Q19" s="175"/>
      <c r="R19" s="175"/>
      <c r="S19" s="175"/>
      <c r="T19" s="1"/>
      <c r="U19" s="1"/>
      <c r="V19" s="1"/>
      <c r="W19" s="1"/>
      <c r="X19" s="1"/>
      <c r="Y19" s="1"/>
      <c r="Z19" s="1"/>
    </row>
    <row r="20" spans="1:26" ht="14.4">
      <c r="A20" s="1"/>
      <c r="B20" s="176"/>
      <c r="C20" s="176"/>
      <c r="D20" s="176"/>
      <c r="E20" s="1"/>
      <c r="F20" s="1"/>
      <c r="G20" s="1"/>
      <c r="H20" s="1"/>
      <c r="I20" s="1"/>
      <c r="J20" s="1"/>
      <c r="K20" s="1"/>
      <c r="L20" s="1"/>
      <c r="M20" s="175"/>
      <c r="N20" s="175"/>
      <c r="O20" s="175"/>
      <c r="P20" s="175"/>
      <c r="Q20" s="175"/>
      <c r="R20" s="175"/>
      <c r="S20" s="175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75"/>
      <c r="N21" s="175"/>
      <c r="O21" s="175"/>
      <c r="P21" s="175"/>
      <c r="Q21" s="175"/>
      <c r="R21" s="175"/>
      <c r="S21" s="175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75"/>
      <c r="N22" s="175"/>
      <c r="O22" s="175"/>
      <c r="P22" s="175"/>
      <c r="Q22" s="175"/>
      <c r="R22" s="175"/>
      <c r="S22" s="175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75"/>
      <c r="N23" s="175"/>
      <c r="O23" s="175"/>
      <c r="P23" s="175"/>
      <c r="Q23" s="175"/>
      <c r="R23" s="175"/>
      <c r="S23" s="175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75"/>
      <c r="N24" s="175"/>
      <c r="O24" s="175"/>
      <c r="P24" s="175"/>
      <c r="Q24" s="175"/>
      <c r="R24" s="175"/>
      <c r="S24" s="175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75"/>
      <c r="N25" s="175"/>
      <c r="O25" s="175"/>
      <c r="P25" s="175"/>
      <c r="Q25" s="175"/>
      <c r="R25" s="175"/>
      <c r="S25" s="175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75"/>
      <c r="N26" s="175"/>
      <c r="O26" s="175"/>
      <c r="P26" s="175"/>
      <c r="Q26" s="175"/>
      <c r="R26" s="175"/>
      <c r="S26" s="175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76" t="s">
        <v>116</v>
      </c>
      <c r="N27" s="176"/>
      <c r="O27" s="176"/>
      <c r="P27" s="176"/>
      <c r="Q27" s="176"/>
      <c r="R27" s="176"/>
      <c r="S27" s="176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76"/>
      <c r="N28" s="176"/>
      <c r="O28" s="176"/>
      <c r="P28" s="176"/>
      <c r="Q28" s="176"/>
      <c r="R28" s="176"/>
      <c r="S28" s="176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76"/>
      <c r="N29" s="176"/>
      <c r="O29" s="176"/>
      <c r="P29" s="176"/>
      <c r="Q29" s="176"/>
      <c r="R29" s="176"/>
      <c r="S29" s="176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76"/>
      <c r="N30" s="176"/>
      <c r="O30" s="176"/>
      <c r="P30" s="176"/>
      <c r="Q30" s="176"/>
      <c r="R30" s="176"/>
      <c r="S30" s="176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76"/>
      <c r="N31" s="176"/>
      <c r="O31" s="176"/>
      <c r="P31" s="176"/>
      <c r="Q31" s="176"/>
      <c r="R31" s="176"/>
      <c r="S31" s="176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76"/>
      <c r="N32" s="176"/>
      <c r="O32" s="176"/>
      <c r="P32" s="176"/>
      <c r="Q32" s="176"/>
      <c r="R32" s="176"/>
      <c r="S32" s="176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76"/>
      <c r="N33" s="176"/>
      <c r="O33" s="176"/>
      <c r="P33" s="176"/>
      <c r="Q33" s="176"/>
      <c r="R33" s="176"/>
      <c r="S33" s="176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79"/>
      <c r="N34" s="179"/>
      <c r="O34" s="179"/>
      <c r="P34" s="179"/>
      <c r="Q34" s="179"/>
      <c r="R34" s="179"/>
      <c r="S34" s="179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79"/>
      <c r="N35" s="179"/>
      <c r="O35" s="179"/>
      <c r="P35" s="179"/>
      <c r="Q35" s="179"/>
      <c r="R35" s="179"/>
      <c r="S35" s="179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79"/>
      <c r="N36" s="179"/>
      <c r="O36" s="179"/>
      <c r="P36" s="179"/>
      <c r="Q36" s="179"/>
      <c r="R36" s="179"/>
      <c r="S36" s="179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1">
    <mergeCell ref="M19:S26"/>
    <mergeCell ref="M27:S33"/>
    <mergeCell ref="G13:I13"/>
    <mergeCell ref="G16:I16"/>
    <mergeCell ref="G19:I19"/>
    <mergeCell ref="A1:J1"/>
    <mergeCell ref="B3:E3"/>
    <mergeCell ref="G3:J3"/>
    <mergeCell ref="G11:I11"/>
    <mergeCell ref="B12:D12"/>
    <mergeCell ref="B14:D20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D1000"/>
  <sheetViews>
    <sheetView zoomScale="145" zoomScaleNormal="145" workbookViewId="0">
      <selection activeCell="A12" sqref="A12"/>
    </sheetView>
  </sheetViews>
  <sheetFormatPr defaultColWidth="14.44140625" defaultRowHeight="15" customHeight="1"/>
  <cols>
    <col min="1" max="1" width="66.5546875" customWidth="1"/>
    <col min="2" max="2" width="16.33203125" customWidth="1"/>
    <col min="3" max="3" width="17.88671875" customWidth="1"/>
    <col min="4" max="4" width="21.44140625" customWidth="1"/>
    <col min="5" max="26" width="8.6640625" customWidth="1"/>
  </cols>
  <sheetData>
    <row r="1" spans="1:4" ht="21">
      <c r="A1" s="148" t="s">
        <v>8</v>
      </c>
      <c r="B1" s="146"/>
      <c r="C1" s="146"/>
      <c r="D1" s="150"/>
    </row>
    <row r="2" spans="1:4" ht="14.4">
      <c r="A2" s="26" t="s">
        <v>2</v>
      </c>
      <c r="B2" s="27" t="s">
        <v>9</v>
      </c>
      <c r="C2" s="28" t="s">
        <v>10</v>
      </c>
      <c r="D2" s="29" t="s">
        <v>11</v>
      </c>
    </row>
    <row r="3" spans="1:4" ht="14.4">
      <c r="A3" s="9" t="s">
        <v>12</v>
      </c>
      <c r="B3" s="30">
        <v>0</v>
      </c>
      <c r="C3" s="31">
        <v>6</v>
      </c>
      <c r="D3" s="8">
        <f t="shared" ref="D3:D5" si="0">B3*C3</f>
        <v>0</v>
      </c>
    </row>
    <row r="4" spans="1:4" ht="14.4">
      <c r="A4" s="7" t="s">
        <v>13</v>
      </c>
      <c r="B4" s="32">
        <f>FaturamentoXCustos!D35</f>
        <v>59118.400000000001</v>
      </c>
      <c r="C4" s="33">
        <v>6</v>
      </c>
      <c r="D4" s="8">
        <f t="shared" si="0"/>
        <v>354710.4</v>
      </c>
    </row>
    <row r="5" spans="1:4" ht="14.4">
      <c r="A5" s="34" t="s">
        <v>14</v>
      </c>
      <c r="B5" s="35">
        <f>('cont... custos'!B41)</f>
        <v>16.329999999999998</v>
      </c>
      <c r="C5" s="36">
        <v>6</v>
      </c>
      <c r="D5" s="8">
        <f t="shared" si="0"/>
        <v>97.97999999999999</v>
      </c>
    </row>
    <row r="6" spans="1:4" ht="21">
      <c r="A6" s="148" t="s">
        <v>5</v>
      </c>
      <c r="B6" s="146"/>
      <c r="C6" s="147"/>
      <c r="D6" s="37">
        <f>SUM(D4:D5)</f>
        <v>354808.38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6:C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J1000"/>
  <sheetViews>
    <sheetView zoomScale="115" zoomScaleNormal="115" workbookViewId="0">
      <selection activeCell="B19" sqref="B19"/>
    </sheetView>
  </sheetViews>
  <sheetFormatPr defaultColWidth="14.44140625" defaultRowHeight="15" customHeight="1"/>
  <cols>
    <col min="1" max="1" width="54" customWidth="1"/>
    <col min="2" max="2" width="37.6640625" customWidth="1"/>
    <col min="3" max="3" width="49.5546875" customWidth="1"/>
    <col min="4" max="4" width="16.109375" customWidth="1"/>
    <col min="5" max="5" width="44.44140625" customWidth="1"/>
    <col min="6" max="6" width="14.44140625" customWidth="1"/>
    <col min="7" max="7" width="10.6640625" customWidth="1"/>
    <col min="8" max="8" width="11.6640625" customWidth="1"/>
    <col min="9" max="26" width="8.6640625" customWidth="1"/>
  </cols>
  <sheetData>
    <row r="1" spans="1:10" ht="21">
      <c r="A1" s="148" t="s">
        <v>106</v>
      </c>
      <c r="B1" s="154"/>
      <c r="C1" s="38"/>
      <c r="D1" s="38"/>
      <c r="E1" s="38"/>
      <c r="F1" s="38"/>
      <c r="G1" s="38"/>
      <c r="H1" s="38"/>
      <c r="I1" s="38"/>
      <c r="J1" s="39"/>
    </row>
    <row r="2" spans="1:10" ht="21">
      <c r="A2" s="148" t="s">
        <v>15</v>
      </c>
      <c r="B2" s="147"/>
    </row>
    <row r="3" spans="1:10" thickBot="1">
      <c r="A3" s="19" t="s">
        <v>2</v>
      </c>
      <c r="B3" s="6" t="s">
        <v>16</v>
      </c>
    </row>
    <row r="4" spans="1:10" ht="28.8" customHeight="1">
      <c r="A4" s="40" t="s">
        <v>102</v>
      </c>
      <c r="B4" s="41">
        <v>1345.66</v>
      </c>
      <c r="C4" s="180" t="s">
        <v>124</v>
      </c>
    </row>
    <row r="5" spans="1:10" ht="14.4">
      <c r="A5" t="s">
        <v>109</v>
      </c>
      <c r="B5" s="41">
        <v>50000</v>
      </c>
      <c r="C5" s="180"/>
    </row>
    <row r="6" spans="1:10" ht="14.4">
      <c r="A6" s="42"/>
      <c r="B6" s="41"/>
      <c r="C6" s="180"/>
    </row>
    <row r="7" spans="1:10" thickBot="1">
      <c r="A7" s="20"/>
      <c r="B7" s="43"/>
      <c r="C7" s="180"/>
      <c r="D7" s="44"/>
      <c r="E7" s="44"/>
    </row>
    <row r="8" spans="1:10" ht="21.6" thickBot="1">
      <c r="A8" s="18" t="s">
        <v>5</v>
      </c>
      <c r="B8" s="45">
        <f>SUM(B4:B7)</f>
        <v>51345.66</v>
      </c>
      <c r="D8" s="44"/>
      <c r="E8" s="44"/>
    </row>
    <row r="9" spans="1:10" ht="14.4">
      <c r="A9" s="1"/>
      <c r="B9" s="44"/>
      <c r="D9" s="44"/>
      <c r="E9" s="44"/>
    </row>
    <row r="10" spans="1:10" ht="21">
      <c r="A10" s="18" t="s">
        <v>17</v>
      </c>
      <c r="B10" s="46">
        <f>B8+F6</f>
        <v>51345.66</v>
      </c>
      <c r="D10" s="44"/>
      <c r="E10" s="44"/>
    </row>
    <row r="11" spans="1:10" ht="14.4">
      <c r="D11" s="44"/>
      <c r="E11" s="44"/>
    </row>
    <row r="12" spans="1:10" ht="15" customHeight="1">
      <c r="A12" s="177" t="s">
        <v>114</v>
      </c>
      <c r="B12" s="177" t="s">
        <v>120</v>
      </c>
    </row>
    <row r="13" spans="1:10" ht="15" customHeight="1">
      <c r="B13" t="s">
        <v>119</v>
      </c>
    </row>
    <row r="14" spans="1:10" ht="14.4">
      <c r="B14" t="s">
        <v>121</v>
      </c>
      <c r="C14" s="44"/>
    </row>
    <row r="15" spans="1:10" ht="15" customHeight="1">
      <c r="B15" t="s">
        <v>122</v>
      </c>
      <c r="D15" s="177"/>
    </row>
    <row r="16" spans="1:10" ht="15" customHeight="1">
      <c r="B16" t="s">
        <v>122</v>
      </c>
    </row>
    <row r="17" spans="2:2" ht="15" customHeight="1">
      <c r="B17" t="s">
        <v>123</v>
      </c>
    </row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C4:C7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C1000"/>
  <sheetViews>
    <sheetView workbookViewId="0">
      <selection activeCell="B6" sqref="B6"/>
    </sheetView>
  </sheetViews>
  <sheetFormatPr defaultColWidth="14.44140625" defaultRowHeight="15" customHeight="1"/>
  <cols>
    <col min="1" max="2" width="30.109375" customWidth="1"/>
    <col min="3" max="3" width="17.5546875" customWidth="1"/>
    <col min="4" max="26" width="8.6640625" customWidth="1"/>
  </cols>
  <sheetData>
    <row r="1" spans="1:3" ht="21">
      <c r="A1" s="148" t="s">
        <v>18</v>
      </c>
      <c r="B1" s="146"/>
      <c r="C1" s="147"/>
    </row>
    <row r="2" spans="1:3" ht="14.4">
      <c r="A2" s="47" t="s">
        <v>19</v>
      </c>
      <c r="B2" s="48" t="s">
        <v>20</v>
      </c>
      <c r="C2" s="48" t="s">
        <v>21</v>
      </c>
    </row>
    <row r="3" spans="1:3" ht="14.4">
      <c r="A3" s="49" t="s">
        <v>22</v>
      </c>
      <c r="B3" s="50">
        <f>'Investimentos Fixos'!J19</f>
        <v>14977.23</v>
      </c>
      <c r="C3" s="51">
        <f>B3/B6</f>
        <v>3.5564279042969188E-2</v>
      </c>
    </row>
    <row r="4" spans="1:3" ht="14.4">
      <c r="A4" s="52" t="s">
        <v>23</v>
      </c>
      <c r="B4" s="50">
        <f>'Capital de Giro'!D6</f>
        <v>354808.38</v>
      </c>
      <c r="C4" s="51">
        <f>B4/B6</f>
        <v>0.84251254959053501</v>
      </c>
    </row>
    <row r="5" spans="1:3" ht="14.4">
      <c r="A5" s="52" t="s">
        <v>24</v>
      </c>
      <c r="B5" s="53">
        <f>'Investimentos Pré-Operacionais'!B10</f>
        <v>51345.66</v>
      </c>
      <c r="C5" s="54">
        <f>B5/B6</f>
        <v>0.12192317136649578</v>
      </c>
    </row>
    <row r="6" spans="1:3" ht="21">
      <c r="A6" s="18" t="s">
        <v>5</v>
      </c>
      <c r="B6" s="55">
        <f>SUM(B3:B5)</f>
        <v>421131.27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>
      <selection activeCell="A4" sqref="A4"/>
    </sheetView>
  </sheetViews>
  <sheetFormatPr defaultColWidth="14.44140625" defaultRowHeight="15" customHeight="1"/>
  <cols>
    <col min="1" max="1" width="87.33203125" customWidth="1"/>
    <col min="2" max="2" width="26.5546875" customWidth="1"/>
    <col min="3" max="3" width="22.109375" customWidth="1"/>
    <col min="4" max="4" width="25.88671875" customWidth="1"/>
    <col min="5" max="5" width="1.6640625" customWidth="1"/>
    <col min="6" max="6" width="73.44140625" customWidth="1"/>
    <col min="7" max="7" width="35" customWidth="1"/>
    <col min="8" max="8" width="30" customWidth="1"/>
    <col min="9" max="26" width="8.6640625" customWidth="1"/>
  </cols>
  <sheetData>
    <row r="1" spans="1:26" ht="21">
      <c r="A1" s="148" t="s">
        <v>104</v>
      </c>
      <c r="B1" s="146"/>
      <c r="C1" s="147"/>
      <c r="D1" s="18"/>
      <c r="E1" s="56"/>
    </row>
    <row r="2" spans="1:26" ht="42.75" customHeight="1">
      <c r="A2" s="57" t="s">
        <v>25</v>
      </c>
      <c r="B2" s="57" t="s">
        <v>26</v>
      </c>
      <c r="C2" s="57" t="s">
        <v>27</v>
      </c>
      <c r="D2" s="57" t="s">
        <v>28</v>
      </c>
      <c r="E2" s="58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4.4">
      <c r="A3" s="7" t="s">
        <v>29</v>
      </c>
      <c r="B3" s="143">
        <v>4315</v>
      </c>
      <c r="C3" s="61">
        <v>30</v>
      </c>
      <c r="D3" s="13">
        <f>C3*B3</f>
        <v>129450</v>
      </c>
      <c r="E3" s="56"/>
      <c r="F3" s="181" t="s">
        <v>128</v>
      </c>
      <c r="G3">
        <v>2115</v>
      </c>
    </row>
    <row r="4" spans="1:26" ht="14.4">
      <c r="A4" s="7" t="s">
        <v>103</v>
      </c>
      <c r="B4" s="62">
        <v>431</v>
      </c>
      <c r="C4" s="61">
        <v>10</v>
      </c>
      <c r="D4" s="13">
        <f t="shared" ref="D4:D9" si="0">B4*C4</f>
        <v>4310</v>
      </c>
      <c r="E4" s="56"/>
      <c r="F4" s="178" t="s">
        <v>130</v>
      </c>
      <c r="G4" s="177">
        <v>600</v>
      </c>
    </row>
    <row r="5" spans="1:26" ht="14.4">
      <c r="A5" s="7"/>
      <c r="B5" s="62"/>
      <c r="C5" s="61"/>
      <c r="D5" s="13">
        <f t="shared" si="0"/>
        <v>0</v>
      </c>
      <c r="E5" s="56"/>
      <c r="F5" s="183" t="s">
        <v>131</v>
      </c>
      <c r="G5" s="184">
        <v>700</v>
      </c>
    </row>
    <row r="6" spans="1:26" ht="14.4">
      <c r="A6" s="7"/>
      <c r="B6" s="60"/>
      <c r="C6" s="61"/>
      <c r="D6" s="13">
        <f t="shared" si="0"/>
        <v>0</v>
      </c>
      <c r="E6" s="56"/>
      <c r="F6" s="183"/>
      <c r="G6" s="184"/>
    </row>
    <row r="7" spans="1:26" ht="14.4">
      <c r="A7" s="7"/>
      <c r="B7" s="62"/>
      <c r="C7" s="61"/>
      <c r="D7" s="13">
        <f t="shared" si="0"/>
        <v>0</v>
      </c>
      <c r="E7" s="56"/>
      <c r="F7" s="177" t="s">
        <v>132</v>
      </c>
      <c r="G7">
        <v>400</v>
      </c>
    </row>
    <row r="8" spans="1:26" ht="14.4">
      <c r="A8" s="7"/>
      <c r="B8" s="65"/>
      <c r="C8" s="66"/>
      <c r="D8" s="67">
        <f t="shared" si="0"/>
        <v>0</v>
      </c>
      <c r="E8" s="56"/>
      <c r="F8" s="177" t="s">
        <v>133</v>
      </c>
      <c r="G8">
        <v>400</v>
      </c>
    </row>
    <row r="9" spans="1:26" ht="27" customHeight="1" thickBot="1">
      <c r="A9" s="68"/>
      <c r="B9" s="65"/>
      <c r="C9" s="66"/>
      <c r="D9" s="67">
        <f t="shared" si="0"/>
        <v>0</v>
      </c>
      <c r="E9" s="56"/>
      <c r="F9" s="185" t="s">
        <v>134</v>
      </c>
      <c r="G9" s="186">
        <v>100</v>
      </c>
    </row>
    <row r="10" spans="1:26" ht="21.6" thickBot="1">
      <c r="A10" s="148" t="s">
        <v>5</v>
      </c>
      <c r="B10" s="146"/>
      <c r="C10" s="147"/>
      <c r="D10" s="45">
        <f>SUM(D3:D4)</f>
        <v>133760</v>
      </c>
      <c r="E10" s="56"/>
      <c r="F10" s="78"/>
      <c r="G10" s="79"/>
    </row>
    <row r="11" spans="1:26" ht="14.4">
      <c r="A11" s="1"/>
      <c r="B11" s="1"/>
      <c r="C11" s="69"/>
      <c r="D11" s="70"/>
      <c r="E11" s="56"/>
      <c r="F11" s="1"/>
      <c r="G11" s="64"/>
    </row>
    <row r="12" spans="1:26" ht="18" customHeight="1">
      <c r="A12" s="71" t="s">
        <v>30</v>
      </c>
      <c r="B12" s="71"/>
      <c r="C12" s="71"/>
      <c r="D12" s="71"/>
      <c r="E12" s="58"/>
      <c r="F12" s="187" t="s">
        <v>135</v>
      </c>
      <c r="G12" s="75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4">
      <c r="A13" s="72" t="s">
        <v>31</v>
      </c>
      <c r="B13" s="72" t="s">
        <v>32</v>
      </c>
      <c r="C13" s="72" t="s">
        <v>33</v>
      </c>
      <c r="D13" s="72" t="s">
        <v>34</v>
      </c>
      <c r="E13" s="56"/>
      <c r="F13" s="1"/>
      <c r="G13" s="80"/>
    </row>
    <row r="14" spans="1:26" ht="14.4">
      <c r="A14" s="7"/>
      <c r="B14" s="73"/>
      <c r="C14" s="13"/>
      <c r="D14" s="13">
        <v>0</v>
      </c>
      <c r="E14" s="56"/>
      <c r="F14" s="74"/>
      <c r="G14" s="74"/>
    </row>
    <row r="15" spans="1:26" ht="14.4">
      <c r="A15" s="7"/>
      <c r="B15" s="73"/>
      <c r="C15" s="13"/>
      <c r="D15" s="13">
        <v>0</v>
      </c>
      <c r="E15" s="56"/>
    </row>
    <row r="16" spans="1:26" ht="14.4">
      <c r="A16" s="7"/>
      <c r="B16" s="73"/>
      <c r="C16" s="13"/>
      <c r="D16" s="13">
        <f>B16*C16</f>
        <v>0</v>
      </c>
      <c r="E16" s="56"/>
    </row>
    <row r="17" spans="1:8" ht="14.4">
      <c r="A17" s="7"/>
      <c r="B17" s="73"/>
      <c r="C17" s="13"/>
      <c r="D17" s="13">
        <f>C17</f>
        <v>0</v>
      </c>
      <c r="E17" s="56"/>
    </row>
    <row r="18" spans="1:8" ht="14.4">
      <c r="A18" s="158" t="s">
        <v>5</v>
      </c>
      <c r="B18" s="159"/>
      <c r="C18" s="160"/>
      <c r="D18" s="37" t="str">
        <f ca="1">SUM(D14:D19)</f>
        <v>#REF!</v>
      </c>
      <c r="E18" s="56"/>
    </row>
    <row r="19" spans="1:8" ht="14.4">
      <c r="E19" s="56"/>
    </row>
    <row r="20" spans="1:8" ht="21">
      <c r="A20" s="71" t="s">
        <v>35</v>
      </c>
      <c r="B20" s="71"/>
      <c r="C20" s="71"/>
      <c r="D20" s="71"/>
      <c r="E20" s="56"/>
    </row>
    <row r="21" spans="1:8" ht="15.75" customHeight="1">
      <c r="A21" s="57" t="s">
        <v>25</v>
      </c>
      <c r="B21" s="76" t="s">
        <v>36</v>
      </c>
      <c r="C21" s="76" t="s">
        <v>37</v>
      </c>
      <c r="D21" s="57" t="s">
        <v>38</v>
      </c>
      <c r="E21" s="56"/>
      <c r="H21" s="64"/>
    </row>
    <row r="22" spans="1:8" ht="15.75" customHeight="1">
      <c r="A22" s="7"/>
      <c r="B22" s="7"/>
      <c r="C22" s="77"/>
      <c r="D22" s="13"/>
      <c r="E22" s="56"/>
      <c r="H22" s="64"/>
    </row>
    <row r="23" spans="1:8" ht="15.75" customHeight="1">
      <c r="A23" s="7"/>
      <c r="B23" s="7"/>
      <c r="C23" s="77"/>
      <c r="D23" s="13"/>
      <c r="E23" s="56"/>
      <c r="H23" s="64"/>
    </row>
    <row r="24" spans="1:8" ht="15.75" customHeight="1">
      <c r="A24" s="7"/>
      <c r="B24" s="7"/>
      <c r="C24" s="77"/>
      <c r="D24" s="13"/>
      <c r="E24" s="56"/>
      <c r="H24" s="64"/>
    </row>
    <row r="25" spans="1:8" ht="15.75" customHeight="1">
      <c r="A25" s="7"/>
      <c r="B25" s="7"/>
      <c r="C25" s="77"/>
      <c r="D25" s="13"/>
      <c r="E25" s="56"/>
      <c r="H25" s="64"/>
    </row>
    <row r="26" spans="1:8" ht="15.75" customHeight="1">
      <c r="A26" s="7"/>
      <c r="B26" s="7"/>
      <c r="C26" s="77"/>
      <c r="D26" s="13"/>
      <c r="E26" s="56"/>
      <c r="H26" s="64"/>
    </row>
    <row r="27" spans="1:8" ht="15.75" customHeight="1">
      <c r="A27" s="7"/>
      <c r="B27" s="7"/>
      <c r="C27" s="77"/>
      <c r="D27" s="13">
        <f>B27*C27</f>
        <v>0</v>
      </c>
      <c r="E27" s="56"/>
    </row>
    <row r="28" spans="1:8" ht="15.75" customHeight="1">
      <c r="A28" s="158" t="s">
        <v>5</v>
      </c>
      <c r="B28" s="159"/>
      <c r="C28" s="160"/>
      <c r="D28" s="37">
        <f>SUM(D22:D27)</f>
        <v>0</v>
      </c>
      <c r="E28" s="56"/>
    </row>
    <row r="29" spans="1:8" ht="15.75" customHeight="1">
      <c r="E29" s="56"/>
    </row>
    <row r="30" spans="1:8" ht="15.75" customHeight="1">
      <c r="A30" s="71" t="s">
        <v>39</v>
      </c>
      <c r="B30" s="71"/>
      <c r="C30" s="71"/>
      <c r="D30" s="71"/>
      <c r="E30" s="56"/>
    </row>
    <row r="31" spans="1:8" ht="15.75" customHeight="1">
      <c r="A31" s="57" t="s">
        <v>2</v>
      </c>
      <c r="B31" s="76" t="s">
        <v>40</v>
      </c>
      <c r="C31" s="76" t="s">
        <v>41</v>
      </c>
      <c r="D31" s="57" t="s">
        <v>42</v>
      </c>
      <c r="E31" s="56"/>
    </row>
    <row r="32" spans="1:8" ht="15.75" customHeight="1">
      <c r="A32" s="7" t="s">
        <v>108</v>
      </c>
      <c r="B32" s="81">
        <v>0.3</v>
      </c>
      <c r="C32" s="82">
        <f>(D10)</f>
        <v>133760</v>
      </c>
      <c r="D32" s="13">
        <f>(B32*C32)-9900</f>
        <v>30228</v>
      </c>
      <c r="E32" s="56"/>
    </row>
    <row r="33" spans="1:6" ht="15.75" customHeight="1">
      <c r="A33" s="7" t="s">
        <v>113</v>
      </c>
      <c r="B33" s="81">
        <v>0.27500000000000002</v>
      </c>
      <c r="C33" s="82">
        <f>(D10)</f>
        <v>133760</v>
      </c>
      <c r="D33" s="13">
        <f>(B33*C33)-9900</f>
        <v>26884</v>
      </c>
      <c r="E33" s="144"/>
    </row>
    <row r="34" spans="1:6" ht="15.75" customHeight="1">
      <c r="A34" s="7" t="s">
        <v>43</v>
      </c>
      <c r="B34" s="81">
        <v>0.05</v>
      </c>
      <c r="C34" s="8">
        <f>D10*0.3</f>
        <v>40128</v>
      </c>
      <c r="D34" s="13">
        <f>C34*B34</f>
        <v>2006.4</v>
      </c>
      <c r="E34" s="56"/>
    </row>
    <row r="35" spans="1:6" ht="15.75" customHeight="1">
      <c r="A35" s="158"/>
      <c r="B35" s="159"/>
      <c r="C35" s="160"/>
      <c r="D35" s="45">
        <f>SUM(D32:D34)</f>
        <v>59118.400000000001</v>
      </c>
      <c r="E35" s="56"/>
    </row>
    <row r="36" spans="1:6" ht="15.75" customHeight="1">
      <c r="D36" s="142"/>
      <c r="E36" s="56"/>
    </row>
    <row r="37" spans="1:6" ht="15.75" customHeight="1">
      <c r="D37" s="177" t="s">
        <v>125</v>
      </c>
      <c r="E37" s="56"/>
      <c r="F37" t="s">
        <v>126</v>
      </c>
    </row>
    <row r="38" spans="1:6" ht="15.75" customHeight="1">
      <c r="E38" s="56"/>
      <c r="F38" t="s">
        <v>127</v>
      </c>
    </row>
    <row r="39" spans="1:6" ht="15.75" customHeight="1">
      <c r="E39" s="56"/>
      <c r="F39" s="182" t="s">
        <v>129</v>
      </c>
    </row>
    <row r="40" spans="1:6" ht="15.75" customHeight="1">
      <c r="E40" s="56"/>
    </row>
    <row r="41" spans="1:6" ht="15.75" customHeight="1">
      <c r="E41" s="56"/>
    </row>
    <row r="42" spans="1:6" ht="15.75" customHeight="1">
      <c r="E42" s="56"/>
    </row>
    <row r="43" spans="1:6" ht="15.75" customHeight="1">
      <c r="E43" s="56"/>
    </row>
    <row r="44" spans="1:6" ht="15.75" customHeight="1">
      <c r="A44" s="1"/>
      <c r="B44" s="83"/>
      <c r="C44" s="70"/>
      <c r="D44" s="70"/>
      <c r="E44" s="56"/>
    </row>
    <row r="45" spans="1:6" ht="15.75" customHeight="1">
      <c r="A45" s="1"/>
      <c r="B45" s="83"/>
      <c r="C45" s="70"/>
      <c r="D45" s="70"/>
      <c r="E45" s="56"/>
    </row>
    <row r="46" spans="1:6" ht="15.75" customHeight="1">
      <c r="A46" s="1"/>
      <c r="B46" s="83"/>
      <c r="C46" s="70"/>
      <c r="D46" s="70"/>
      <c r="E46" s="56"/>
    </row>
    <row r="47" spans="1:6" ht="15.75" customHeight="1">
      <c r="A47" s="1"/>
      <c r="B47" s="83"/>
      <c r="C47" s="70"/>
      <c r="D47" s="70"/>
      <c r="E47" s="56"/>
    </row>
    <row r="48" spans="1:6" ht="15.75" customHeight="1">
      <c r="A48" s="1"/>
      <c r="B48" s="83"/>
      <c r="C48" s="70"/>
      <c r="D48" s="70"/>
      <c r="E48" s="56"/>
    </row>
    <row r="49" spans="1:5" ht="15.75" customHeight="1">
      <c r="A49" s="1"/>
      <c r="B49" s="83"/>
      <c r="C49" s="70"/>
      <c r="D49" s="44"/>
      <c r="E49" s="56"/>
    </row>
    <row r="50" spans="1:5" ht="15.75" customHeight="1">
      <c r="A50" s="1"/>
      <c r="B50" s="83"/>
      <c r="C50" s="70"/>
      <c r="D50" s="44"/>
      <c r="E50" s="56"/>
    </row>
    <row r="51" spans="1:5" ht="15.75" customHeight="1">
      <c r="A51" s="1"/>
      <c r="B51" s="83"/>
      <c r="C51" s="70"/>
      <c r="D51" s="44"/>
      <c r="E51" s="56"/>
    </row>
    <row r="52" spans="1:5" ht="15.75" customHeight="1">
      <c r="A52" s="1"/>
      <c r="B52" s="83"/>
      <c r="C52" s="70"/>
      <c r="D52" s="44"/>
      <c r="E52" s="56"/>
    </row>
    <row r="53" spans="1:5" ht="15.75" customHeight="1">
      <c r="A53" s="155"/>
      <c r="B53" s="156"/>
      <c r="C53" s="157"/>
      <c r="D53" s="84"/>
      <c r="E53" s="56"/>
    </row>
    <row r="54" spans="1:5" ht="15.75" customHeight="1">
      <c r="E54" s="56"/>
    </row>
    <row r="55" spans="1:5" ht="15.75" customHeight="1">
      <c r="E55" s="56"/>
    </row>
    <row r="56" spans="1:5" ht="15.75" customHeight="1">
      <c r="E56" s="56"/>
    </row>
    <row r="57" spans="1:5" ht="15.75" customHeight="1">
      <c r="E57" s="56"/>
    </row>
    <row r="58" spans="1:5" ht="15.75" customHeight="1">
      <c r="E58" s="56"/>
    </row>
    <row r="59" spans="1:5" ht="15.75" customHeight="1">
      <c r="E59" s="56"/>
    </row>
    <row r="60" spans="1:5" ht="15.75" customHeight="1">
      <c r="E60" s="56"/>
    </row>
    <row r="61" spans="1:5" ht="15.75" customHeight="1">
      <c r="E61" s="56"/>
    </row>
    <row r="62" spans="1:5" ht="15.75" customHeight="1">
      <c r="E62" s="56"/>
    </row>
    <row r="63" spans="1:5" ht="15.75" customHeight="1">
      <c r="E63" s="56"/>
    </row>
    <row r="64" spans="1:5" ht="15.75" customHeight="1">
      <c r="E64" s="56"/>
    </row>
    <row r="65" spans="5:5" ht="15.75" customHeight="1">
      <c r="E65" s="56"/>
    </row>
    <row r="66" spans="5:5" ht="15.75" customHeight="1">
      <c r="E66" s="56"/>
    </row>
    <row r="67" spans="5:5" ht="15.75" customHeight="1">
      <c r="E67" s="56"/>
    </row>
    <row r="68" spans="5:5" ht="15.75" customHeight="1">
      <c r="E68" s="56"/>
    </row>
    <row r="69" spans="5:5" ht="15.75" customHeight="1">
      <c r="E69" s="56"/>
    </row>
    <row r="70" spans="5:5" ht="15.75" customHeight="1">
      <c r="E70" s="56"/>
    </row>
    <row r="71" spans="5:5" ht="15.75" customHeight="1">
      <c r="E71" s="56"/>
    </row>
    <row r="72" spans="5:5" ht="15.75" customHeight="1">
      <c r="E72" s="56"/>
    </row>
    <row r="73" spans="5:5" ht="15.75" customHeight="1">
      <c r="E73" s="56"/>
    </row>
    <row r="74" spans="5:5" ht="15.75" customHeight="1">
      <c r="E74" s="56"/>
    </row>
    <row r="75" spans="5:5" ht="15.75" customHeight="1">
      <c r="E75" s="56"/>
    </row>
    <row r="76" spans="5:5" ht="15.75" customHeight="1">
      <c r="E76" s="56"/>
    </row>
    <row r="77" spans="5:5" ht="15.75" customHeight="1">
      <c r="E77" s="56"/>
    </row>
    <row r="78" spans="5:5" ht="15.75" customHeight="1">
      <c r="E78" s="56"/>
    </row>
    <row r="79" spans="5:5" ht="15.75" customHeight="1">
      <c r="E79" s="56"/>
    </row>
    <row r="80" spans="5:5" ht="15.75" customHeight="1">
      <c r="E80" s="56"/>
    </row>
    <row r="81" spans="5:5" ht="15.75" customHeight="1">
      <c r="E81" s="56"/>
    </row>
    <row r="82" spans="5:5" ht="15.75" customHeight="1">
      <c r="E82" s="56"/>
    </row>
    <row r="83" spans="5:5" ht="15.75" customHeight="1">
      <c r="E83" s="56"/>
    </row>
    <row r="84" spans="5:5" ht="15.75" customHeight="1">
      <c r="E84" s="56"/>
    </row>
    <row r="85" spans="5:5" ht="15.75" customHeight="1">
      <c r="E85" s="85"/>
    </row>
    <row r="86" spans="5:5" ht="15.75" customHeight="1">
      <c r="E86" s="85"/>
    </row>
    <row r="87" spans="5:5" ht="15.75" customHeight="1">
      <c r="E87" s="85"/>
    </row>
    <row r="88" spans="5:5" ht="15.75" customHeight="1">
      <c r="E88" s="86"/>
    </row>
    <row r="89" spans="5:5" ht="15.75" customHeight="1">
      <c r="E89" s="86"/>
    </row>
    <row r="90" spans="5:5" ht="15.75" customHeight="1">
      <c r="E90" s="86"/>
    </row>
    <row r="91" spans="5:5" ht="15.75" customHeight="1">
      <c r="E91" s="86"/>
    </row>
    <row r="92" spans="5:5" ht="15.75" customHeight="1">
      <c r="E92" s="86"/>
    </row>
    <row r="93" spans="5:5" ht="15.75" customHeight="1">
      <c r="E93" s="86"/>
    </row>
    <row r="94" spans="5:5" ht="15.75" customHeight="1">
      <c r="E94" s="86"/>
    </row>
    <row r="95" spans="5:5" ht="15.75" customHeight="1">
      <c r="E95" s="86"/>
    </row>
    <row r="96" spans="5:5" ht="15.75" customHeight="1">
      <c r="E96" s="86"/>
    </row>
    <row r="97" spans="5:5" ht="15.75" customHeight="1">
      <c r="E97" s="86"/>
    </row>
    <row r="98" spans="5:5" ht="15.75" customHeight="1">
      <c r="E98" s="86"/>
    </row>
    <row r="99" spans="5:5" ht="15.75" customHeight="1">
      <c r="E99" s="86"/>
    </row>
    <row r="100" spans="5:5" ht="15.75" customHeight="1">
      <c r="E100" s="86"/>
    </row>
    <row r="101" spans="5:5" ht="15.75" customHeight="1">
      <c r="E101" s="86"/>
    </row>
    <row r="102" spans="5:5" ht="15.75" customHeight="1">
      <c r="E102" s="86"/>
    </row>
    <row r="103" spans="5:5" ht="15.75" customHeight="1">
      <c r="E103" s="86"/>
    </row>
    <row r="104" spans="5:5" ht="15.75" customHeight="1">
      <c r="E104" s="86"/>
    </row>
    <row r="105" spans="5:5" ht="15.75" customHeight="1">
      <c r="E105" s="86"/>
    </row>
    <row r="106" spans="5:5" ht="15.75" customHeight="1">
      <c r="E106" s="86"/>
    </row>
    <row r="107" spans="5:5" ht="15.75" customHeight="1">
      <c r="E107" s="86"/>
    </row>
    <row r="108" spans="5:5" ht="15.75" customHeight="1">
      <c r="E108" s="86"/>
    </row>
    <row r="109" spans="5:5" ht="15.75" customHeight="1">
      <c r="E109" s="86"/>
    </row>
    <row r="110" spans="5:5" ht="15.75" customHeight="1">
      <c r="E110" s="86"/>
    </row>
    <row r="111" spans="5:5" ht="15.75" customHeight="1">
      <c r="E111" s="86"/>
    </row>
    <row r="112" spans="5:5" ht="15.75" customHeight="1">
      <c r="E112" s="86"/>
    </row>
    <row r="113" spans="5:5" ht="15.75" customHeight="1">
      <c r="E113" s="86"/>
    </row>
    <row r="114" spans="5:5" ht="15.75" customHeight="1">
      <c r="E114" s="86"/>
    </row>
    <row r="115" spans="5:5" ht="15.75" customHeight="1">
      <c r="E115" s="86"/>
    </row>
    <row r="116" spans="5:5" ht="15.75" customHeight="1">
      <c r="E116" s="86"/>
    </row>
    <row r="117" spans="5:5" ht="15.75" customHeight="1">
      <c r="E117" s="86"/>
    </row>
    <row r="118" spans="5:5" ht="15.75" customHeight="1">
      <c r="E118" s="86"/>
    </row>
    <row r="119" spans="5:5" ht="15.75" customHeight="1">
      <c r="E119" s="86"/>
    </row>
    <row r="120" spans="5:5" ht="15.75" customHeight="1">
      <c r="E120" s="86"/>
    </row>
    <row r="121" spans="5:5" ht="15.75" customHeight="1">
      <c r="E121" s="86"/>
    </row>
    <row r="122" spans="5:5" ht="15.75" customHeight="1">
      <c r="E122" s="86"/>
    </row>
    <row r="123" spans="5:5" ht="15.75" customHeight="1">
      <c r="E123" s="86"/>
    </row>
    <row r="124" spans="5:5" ht="15.75" customHeight="1">
      <c r="E124" s="86"/>
    </row>
    <row r="125" spans="5:5" ht="15.75" customHeight="1">
      <c r="E125" s="86"/>
    </row>
    <row r="126" spans="5:5" ht="15.75" customHeight="1">
      <c r="E126" s="86"/>
    </row>
    <row r="127" spans="5:5" ht="15.75" customHeight="1">
      <c r="E127" s="86"/>
    </row>
    <row r="128" spans="5:5" ht="15.75" customHeight="1">
      <c r="E128" s="86"/>
    </row>
    <row r="129" spans="5:5" ht="15.75" customHeight="1">
      <c r="E129" s="86"/>
    </row>
    <row r="130" spans="5:5" ht="15.75" customHeight="1">
      <c r="E130" s="86"/>
    </row>
    <row r="131" spans="5:5" ht="15.75" customHeight="1">
      <c r="E131" s="86"/>
    </row>
    <row r="132" spans="5:5" ht="15.75" customHeight="1">
      <c r="E132" s="86"/>
    </row>
    <row r="133" spans="5:5" ht="15.75" customHeight="1">
      <c r="E133" s="86"/>
    </row>
    <row r="134" spans="5:5" ht="15.75" customHeight="1">
      <c r="E134" s="86"/>
    </row>
    <row r="135" spans="5:5" ht="15.75" customHeight="1">
      <c r="E135" s="86"/>
    </row>
    <row r="136" spans="5:5" ht="15.75" customHeight="1">
      <c r="E136" s="86"/>
    </row>
    <row r="137" spans="5:5" ht="15.75" customHeight="1">
      <c r="E137" s="86"/>
    </row>
    <row r="138" spans="5:5" ht="15.75" customHeight="1">
      <c r="E138" s="86"/>
    </row>
    <row r="139" spans="5:5" ht="15.75" customHeight="1">
      <c r="E139" s="86"/>
    </row>
    <row r="140" spans="5:5" ht="15.75" customHeight="1">
      <c r="E140" s="86"/>
    </row>
    <row r="141" spans="5:5" ht="15.75" customHeight="1">
      <c r="E141" s="86"/>
    </row>
    <row r="142" spans="5:5" ht="15.75" customHeight="1">
      <c r="E142" s="86"/>
    </row>
    <row r="143" spans="5:5" ht="15.75" customHeight="1">
      <c r="E143" s="86"/>
    </row>
    <row r="144" spans="5:5" ht="15.75" customHeight="1">
      <c r="E144" s="86"/>
    </row>
    <row r="145" spans="5:5" ht="15.75" customHeight="1">
      <c r="E145" s="86"/>
    </row>
    <row r="146" spans="5:5" ht="15.75" customHeight="1">
      <c r="E146" s="86"/>
    </row>
    <row r="147" spans="5:5" ht="15.75" customHeight="1">
      <c r="E147" s="86"/>
    </row>
    <row r="148" spans="5:5" ht="15.75" customHeight="1">
      <c r="E148" s="86"/>
    </row>
    <row r="149" spans="5:5" ht="15.75" customHeight="1">
      <c r="E149" s="86"/>
    </row>
    <row r="150" spans="5:5" ht="15.75" customHeight="1">
      <c r="E150" s="86"/>
    </row>
    <row r="151" spans="5:5" ht="15.75" customHeight="1">
      <c r="E151" s="86"/>
    </row>
    <row r="152" spans="5:5" ht="15.75" customHeight="1">
      <c r="E152" s="86"/>
    </row>
    <row r="153" spans="5:5" ht="15.75" customHeight="1">
      <c r="E153" s="86"/>
    </row>
    <row r="154" spans="5:5" ht="15.75" customHeight="1">
      <c r="E154" s="86"/>
    </row>
    <row r="155" spans="5:5" ht="15.75" customHeight="1">
      <c r="E155" s="86"/>
    </row>
    <row r="156" spans="5:5" ht="15.75" customHeight="1">
      <c r="E156" s="86"/>
    </row>
    <row r="157" spans="5:5" ht="15.75" customHeight="1">
      <c r="E157" s="86"/>
    </row>
    <row r="158" spans="5:5" ht="15.75" customHeight="1">
      <c r="E158" s="86"/>
    </row>
    <row r="159" spans="5:5" ht="15.75" customHeight="1">
      <c r="E159" s="86"/>
    </row>
    <row r="160" spans="5:5" ht="15.75" customHeight="1">
      <c r="E160" s="86"/>
    </row>
    <row r="161" spans="5:5" ht="15.75" customHeight="1">
      <c r="E161" s="86"/>
    </row>
    <row r="162" spans="5:5" ht="15.75" customHeight="1">
      <c r="E162" s="86"/>
    </row>
    <row r="163" spans="5:5" ht="15.75" customHeight="1">
      <c r="E163" s="86"/>
    </row>
    <row r="164" spans="5:5" ht="15.75" customHeight="1">
      <c r="E164" s="86"/>
    </row>
    <row r="165" spans="5:5" ht="15.75" customHeight="1">
      <c r="E165" s="86"/>
    </row>
    <row r="166" spans="5:5" ht="15.75" customHeight="1">
      <c r="E166" s="86"/>
    </row>
    <row r="167" spans="5:5" ht="15.75" customHeight="1">
      <c r="E167" s="86"/>
    </row>
    <row r="168" spans="5:5" ht="15.75" customHeight="1">
      <c r="E168" s="86"/>
    </row>
    <row r="169" spans="5:5" ht="15.75" customHeight="1">
      <c r="E169" s="86"/>
    </row>
    <row r="170" spans="5:5" ht="15.75" customHeight="1">
      <c r="E170" s="86"/>
    </row>
    <row r="171" spans="5:5" ht="15.75" customHeight="1">
      <c r="E171" s="86"/>
    </row>
    <row r="172" spans="5:5" ht="15.75" customHeight="1">
      <c r="E172" s="86"/>
    </row>
    <row r="173" spans="5:5" ht="15.75" customHeight="1">
      <c r="E173" s="86"/>
    </row>
    <row r="174" spans="5:5" ht="15.75" customHeight="1">
      <c r="E174" s="86"/>
    </row>
    <row r="175" spans="5:5" ht="15.75" customHeight="1">
      <c r="E175" s="86"/>
    </row>
    <row r="176" spans="5:5" ht="15.75" customHeight="1">
      <c r="E176" s="86"/>
    </row>
    <row r="177" spans="5:5" ht="15.75" customHeight="1">
      <c r="E177" s="86"/>
    </row>
    <row r="178" spans="5:5" ht="15.75" customHeight="1">
      <c r="E178" s="86"/>
    </row>
    <row r="179" spans="5:5" ht="15.75" customHeight="1">
      <c r="E179" s="86"/>
    </row>
    <row r="180" spans="5:5" ht="15.75" customHeight="1">
      <c r="E180" s="86"/>
    </row>
    <row r="181" spans="5:5" ht="15.75" customHeight="1">
      <c r="E181" s="86"/>
    </row>
    <row r="182" spans="5:5" ht="15.75" customHeight="1">
      <c r="E182" s="86"/>
    </row>
    <row r="183" spans="5:5" ht="15.75" customHeight="1">
      <c r="E183" s="86"/>
    </row>
    <row r="184" spans="5:5" ht="15.75" customHeight="1">
      <c r="E184" s="86"/>
    </row>
    <row r="185" spans="5:5" ht="15.75" customHeight="1">
      <c r="E185" s="86"/>
    </row>
    <row r="186" spans="5:5" ht="15.75" customHeight="1">
      <c r="E186" s="86"/>
    </row>
    <row r="187" spans="5:5" ht="15.75" customHeight="1">
      <c r="E187" s="86"/>
    </row>
    <row r="188" spans="5:5" ht="15.75" customHeight="1">
      <c r="E188" s="86"/>
    </row>
    <row r="189" spans="5:5" ht="15.75" customHeight="1">
      <c r="E189" s="86"/>
    </row>
    <row r="190" spans="5:5" ht="15.75" customHeight="1">
      <c r="E190" s="86"/>
    </row>
    <row r="191" spans="5:5" ht="15.75" customHeight="1">
      <c r="E191" s="86"/>
    </row>
    <row r="192" spans="5:5" ht="15.75" customHeight="1">
      <c r="E192" s="86"/>
    </row>
    <row r="193" spans="5:5" ht="15.75" customHeight="1">
      <c r="E193" s="86"/>
    </row>
    <row r="194" spans="5:5" ht="15.75" customHeight="1">
      <c r="E194" s="86"/>
    </row>
    <row r="195" spans="5:5" ht="15.75" customHeight="1">
      <c r="E195" s="86"/>
    </row>
    <row r="196" spans="5:5" ht="15.75" customHeight="1">
      <c r="E196" s="86"/>
    </row>
    <row r="197" spans="5:5" ht="15.75" customHeight="1">
      <c r="E197" s="86"/>
    </row>
    <row r="198" spans="5:5" ht="15.75" customHeight="1">
      <c r="E198" s="86"/>
    </row>
    <row r="199" spans="5:5" ht="15.75" customHeight="1">
      <c r="E199" s="86"/>
    </row>
    <row r="200" spans="5:5" ht="15.75" customHeight="1">
      <c r="E200" s="86"/>
    </row>
    <row r="201" spans="5:5" ht="15.75" customHeight="1">
      <c r="E201" s="86"/>
    </row>
    <row r="202" spans="5:5" ht="15.75" customHeight="1">
      <c r="E202" s="86"/>
    </row>
    <row r="203" spans="5:5" ht="15.75" customHeight="1">
      <c r="E203" s="86"/>
    </row>
    <row r="204" spans="5:5" ht="15.75" customHeight="1">
      <c r="E204" s="86"/>
    </row>
    <row r="205" spans="5:5" ht="15.75" customHeight="1">
      <c r="E205" s="86"/>
    </row>
    <row r="206" spans="5:5" ht="15.75" customHeight="1">
      <c r="E206" s="86"/>
    </row>
    <row r="207" spans="5:5" ht="15.75" customHeight="1">
      <c r="E207" s="86"/>
    </row>
    <row r="208" spans="5:5" ht="15.75" customHeight="1">
      <c r="E208" s="86"/>
    </row>
    <row r="209" spans="5:5" ht="15.75" customHeight="1">
      <c r="E209" s="86"/>
    </row>
    <row r="210" spans="5:5" ht="15.75" customHeight="1">
      <c r="E210" s="86"/>
    </row>
    <row r="211" spans="5:5" ht="15.75" customHeight="1">
      <c r="E211" s="86"/>
    </row>
    <row r="212" spans="5:5" ht="15.75" customHeight="1">
      <c r="E212" s="86"/>
    </row>
    <row r="213" spans="5:5" ht="15.75" customHeight="1">
      <c r="E213" s="86"/>
    </row>
    <row r="214" spans="5:5" ht="15.75" customHeight="1">
      <c r="E214" s="86"/>
    </row>
    <row r="215" spans="5:5" ht="15.75" customHeight="1">
      <c r="E215" s="86"/>
    </row>
    <row r="216" spans="5:5" ht="15.75" customHeight="1">
      <c r="E216" s="86"/>
    </row>
    <row r="217" spans="5:5" ht="15.75" customHeight="1">
      <c r="E217" s="86"/>
    </row>
    <row r="218" spans="5:5" ht="15.75" customHeight="1">
      <c r="E218" s="86"/>
    </row>
    <row r="219" spans="5:5" ht="15.75" customHeight="1">
      <c r="E219" s="86"/>
    </row>
    <row r="220" spans="5:5" ht="15.75" customHeight="1">
      <c r="E220" s="86"/>
    </row>
    <row r="221" spans="5:5" ht="15.75" customHeight="1">
      <c r="E221" s="86"/>
    </row>
    <row r="222" spans="5:5" ht="15.75" customHeight="1">
      <c r="E222" s="86"/>
    </row>
    <row r="223" spans="5:5" ht="15.75" customHeight="1">
      <c r="E223" s="86"/>
    </row>
    <row r="224" spans="5:5" ht="15.75" customHeight="1">
      <c r="E224" s="86"/>
    </row>
    <row r="225" spans="5:5" ht="15.75" customHeight="1">
      <c r="E225" s="86"/>
    </row>
    <row r="226" spans="5:5" ht="15.75" customHeight="1">
      <c r="E226" s="86"/>
    </row>
    <row r="227" spans="5:5" ht="15.75" customHeight="1">
      <c r="E227" s="86"/>
    </row>
    <row r="228" spans="5:5" ht="15.75" customHeight="1">
      <c r="E228" s="86"/>
    </row>
    <row r="229" spans="5:5" ht="15.75" customHeight="1">
      <c r="E229" s="86"/>
    </row>
    <row r="230" spans="5:5" ht="15.75" customHeight="1">
      <c r="E230" s="86"/>
    </row>
    <row r="231" spans="5:5" ht="15.75" customHeight="1">
      <c r="E231" s="86"/>
    </row>
    <row r="232" spans="5:5" ht="15.75" customHeight="1">
      <c r="E232" s="86"/>
    </row>
    <row r="233" spans="5:5" ht="15.75" customHeight="1">
      <c r="E233" s="86"/>
    </row>
    <row r="234" spans="5:5" ht="15.75" customHeight="1">
      <c r="E234" s="86"/>
    </row>
    <row r="235" spans="5:5" ht="15.75" customHeight="1">
      <c r="E235" s="86"/>
    </row>
    <row r="236" spans="5:5" ht="15.75" customHeight="1">
      <c r="E236" s="86"/>
    </row>
    <row r="237" spans="5:5" ht="15.75" customHeight="1">
      <c r="E237" s="86"/>
    </row>
    <row r="238" spans="5:5" ht="15.75" customHeight="1">
      <c r="E238" s="86"/>
    </row>
    <row r="239" spans="5:5" ht="15.75" customHeight="1">
      <c r="E239" s="86"/>
    </row>
    <row r="240" spans="5:5" ht="15.75" customHeight="1">
      <c r="E240" s="86"/>
    </row>
    <row r="241" spans="5:5" ht="15.75" customHeight="1">
      <c r="E241" s="86"/>
    </row>
    <row r="242" spans="5:5" ht="15.75" customHeight="1">
      <c r="E242" s="86"/>
    </row>
    <row r="243" spans="5:5" ht="15.75" customHeight="1">
      <c r="E243" s="86"/>
    </row>
    <row r="244" spans="5:5" ht="15.75" customHeight="1">
      <c r="E244" s="86"/>
    </row>
    <row r="245" spans="5:5" ht="15.75" customHeight="1">
      <c r="E245" s="86"/>
    </row>
    <row r="246" spans="5:5" ht="15.75" customHeight="1">
      <c r="E246" s="86"/>
    </row>
    <row r="247" spans="5:5" ht="15.75" customHeight="1">
      <c r="E247" s="86"/>
    </row>
    <row r="248" spans="5:5" ht="15.75" customHeight="1">
      <c r="E248" s="86"/>
    </row>
    <row r="249" spans="5:5" ht="15.75" customHeight="1">
      <c r="E249" s="86"/>
    </row>
    <row r="250" spans="5:5" ht="15.75" customHeight="1">
      <c r="E250" s="86"/>
    </row>
    <row r="251" spans="5:5" ht="15.75" customHeight="1">
      <c r="E251" s="86"/>
    </row>
    <row r="252" spans="5:5" ht="15.75" customHeight="1">
      <c r="E252" s="86"/>
    </row>
    <row r="253" spans="5:5" ht="15.75" customHeight="1">
      <c r="E253" s="86"/>
    </row>
    <row r="254" spans="5:5" ht="15.75" customHeight="1">
      <c r="E254" s="86"/>
    </row>
    <row r="255" spans="5:5" ht="15.75" customHeight="1">
      <c r="E255" s="86"/>
    </row>
    <row r="256" spans="5:5" ht="15.75" customHeight="1">
      <c r="E256" s="86"/>
    </row>
    <row r="257" spans="5:5" ht="15.75" customHeight="1">
      <c r="E257" s="86"/>
    </row>
    <row r="258" spans="5:5" ht="15.75" customHeight="1">
      <c r="E258" s="86"/>
    </row>
    <row r="259" spans="5:5" ht="15.75" customHeight="1">
      <c r="E259" s="86"/>
    </row>
    <row r="260" spans="5:5" ht="15.75" customHeight="1">
      <c r="E260" s="86"/>
    </row>
    <row r="261" spans="5:5" ht="15.75" customHeight="1">
      <c r="E261" s="86"/>
    </row>
    <row r="262" spans="5:5" ht="15.75" customHeight="1">
      <c r="E262" s="86"/>
    </row>
    <row r="263" spans="5:5" ht="15.75" customHeight="1">
      <c r="E263" s="86"/>
    </row>
    <row r="264" spans="5:5" ht="15.75" customHeight="1">
      <c r="E264" s="86"/>
    </row>
    <row r="265" spans="5:5" ht="15.75" customHeight="1">
      <c r="E265" s="86"/>
    </row>
    <row r="266" spans="5:5" ht="15.75" customHeight="1">
      <c r="E266" s="86"/>
    </row>
    <row r="267" spans="5:5" ht="15.75" customHeight="1">
      <c r="E267" s="86"/>
    </row>
    <row r="268" spans="5:5" ht="15.75" customHeight="1">
      <c r="E268" s="86"/>
    </row>
    <row r="269" spans="5:5" ht="15.75" customHeight="1">
      <c r="E269" s="86"/>
    </row>
    <row r="270" spans="5:5" ht="15.75" customHeight="1">
      <c r="E270" s="86"/>
    </row>
    <row r="271" spans="5:5" ht="15.75" customHeight="1">
      <c r="E271" s="86"/>
    </row>
    <row r="272" spans="5:5" ht="15.75" customHeight="1">
      <c r="E272" s="86"/>
    </row>
    <row r="273" spans="5:5" ht="15.75" customHeight="1">
      <c r="E273" s="86"/>
    </row>
    <row r="274" spans="5:5" ht="15.75" customHeight="1">
      <c r="E274" s="86"/>
    </row>
    <row r="275" spans="5:5" ht="15.75" customHeight="1">
      <c r="E275" s="86"/>
    </row>
    <row r="276" spans="5:5" ht="15.75" customHeight="1">
      <c r="E276" s="86"/>
    </row>
    <row r="277" spans="5:5" ht="15.75" customHeight="1">
      <c r="E277" s="86"/>
    </row>
    <row r="278" spans="5:5" ht="15.75" customHeight="1">
      <c r="E278" s="86"/>
    </row>
    <row r="279" spans="5:5" ht="15.75" customHeight="1">
      <c r="E279" s="86"/>
    </row>
    <row r="280" spans="5:5" ht="15.75" customHeight="1">
      <c r="E280" s="86"/>
    </row>
    <row r="281" spans="5:5" ht="15.75" customHeight="1">
      <c r="E281" s="86"/>
    </row>
    <row r="282" spans="5:5" ht="15.75" customHeight="1">
      <c r="E282" s="86"/>
    </row>
    <row r="283" spans="5:5" ht="15.75" customHeight="1">
      <c r="E283" s="86"/>
    </row>
    <row r="284" spans="5:5" ht="15.75" customHeight="1">
      <c r="E284" s="86"/>
    </row>
    <row r="285" spans="5:5" ht="15.75" customHeight="1">
      <c r="E285" s="86"/>
    </row>
    <row r="286" spans="5:5" ht="15.75" customHeight="1">
      <c r="E286" s="86"/>
    </row>
    <row r="287" spans="5:5" ht="15.75" customHeight="1">
      <c r="E287" s="86"/>
    </row>
    <row r="288" spans="5:5" ht="15.75" customHeight="1">
      <c r="E288" s="86"/>
    </row>
    <row r="289" spans="5:5" ht="15.75" customHeight="1">
      <c r="E289" s="86"/>
    </row>
    <row r="290" spans="5:5" ht="15.75" customHeight="1">
      <c r="E290" s="86"/>
    </row>
    <row r="291" spans="5:5" ht="15.75" customHeight="1">
      <c r="E291" s="86"/>
    </row>
    <row r="292" spans="5:5" ht="15.75" customHeight="1">
      <c r="E292" s="86"/>
    </row>
    <row r="293" spans="5:5" ht="15.75" customHeight="1">
      <c r="E293" s="86"/>
    </row>
    <row r="294" spans="5:5" ht="15.75" customHeight="1">
      <c r="E294" s="86"/>
    </row>
    <row r="295" spans="5:5" ht="15.75" customHeight="1">
      <c r="E295" s="86"/>
    </row>
    <row r="296" spans="5:5" ht="15.75" customHeight="1">
      <c r="E296" s="86"/>
    </row>
    <row r="297" spans="5:5" ht="15.75" customHeight="1">
      <c r="E297" s="86"/>
    </row>
    <row r="298" spans="5:5" ht="15.75" customHeight="1">
      <c r="E298" s="86"/>
    </row>
    <row r="299" spans="5:5" ht="15.75" customHeight="1">
      <c r="E299" s="86"/>
    </row>
    <row r="300" spans="5:5" ht="15.75" customHeight="1">
      <c r="E300" s="86"/>
    </row>
    <row r="301" spans="5:5" ht="15.75" customHeight="1">
      <c r="E301" s="86"/>
    </row>
    <row r="302" spans="5:5" ht="15.75" customHeight="1">
      <c r="E302" s="86"/>
    </row>
    <row r="303" spans="5:5" ht="15.75" customHeight="1">
      <c r="E303" s="86"/>
    </row>
    <row r="304" spans="5:5" ht="15.75" customHeight="1">
      <c r="E304" s="86"/>
    </row>
    <row r="305" spans="5:5" ht="15.75" customHeight="1">
      <c r="E305" s="86"/>
    </row>
    <row r="306" spans="5:5" ht="15.75" customHeight="1">
      <c r="E306" s="86"/>
    </row>
    <row r="307" spans="5:5" ht="15.75" customHeight="1">
      <c r="E307" s="86"/>
    </row>
    <row r="308" spans="5:5" ht="15.75" customHeight="1">
      <c r="E308" s="86"/>
    </row>
    <row r="309" spans="5:5" ht="15.75" customHeight="1">
      <c r="E309" s="86"/>
    </row>
    <row r="310" spans="5:5" ht="15.75" customHeight="1">
      <c r="E310" s="86"/>
    </row>
    <row r="311" spans="5:5" ht="15.75" customHeight="1">
      <c r="E311" s="86"/>
    </row>
    <row r="312" spans="5:5" ht="15.75" customHeight="1">
      <c r="E312" s="86"/>
    </row>
    <row r="313" spans="5:5" ht="15.75" customHeight="1">
      <c r="E313" s="86"/>
    </row>
    <row r="314" spans="5:5" ht="15.75" customHeight="1">
      <c r="E314" s="86"/>
    </row>
    <row r="315" spans="5:5" ht="15.75" customHeight="1">
      <c r="E315" s="86"/>
    </row>
    <row r="316" spans="5:5" ht="15.75" customHeight="1">
      <c r="E316" s="86"/>
    </row>
    <row r="317" spans="5:5" ht="15.75" customHeight="1">
      <c r="E317" s="86"/>
    </row>
    <row r="318" spans="5:5" ht="15.75" customHeight="1">
      <c r="E318" s="86"/>
    </row>
    <row r="319" spans="5:5" ht="15.75" customHeight="1">
      <c r="E319" s="86"/>
    </row>
    <row r="320" spans="5:5" ht="15.75" customHeight="1">
      <c r="E320" s="86"/>
    </row>
    <row r="321" spans="5:5" ht="15.75" customHeight="1">
      <c r="E321" s="86"/>
    </row>
    <row r="322" spans="5:5" ht="15.75" customHeight="1">
      <c r="E322" s="86"/>
    </row>
    <row r="323" spans="5:5" ht="15.75" customHeight="1">
      <c r="E323" s="86"/>
    </row>
    <row r="324" spans="5:5" ht="15.75" customHeight="1">
      <c r="E324" s="86"/>
    </row>
    <row r="325" spans="5:5" ht="15.75" customHeight="1">
      <c r="E325" s="86"/>
    </row>
    <row r="326" spans="5:5" ht="15.75" customHeight="1">
      <c r="E326" s="86"/>
    </row>
    <row r="327" spans="5:5" ht="15.75" customHeight="1">
      <c r="E327" s="86"/>
    </row>
    <row r="328" spans="5:5" ht="15.75" customHeight="1">
      <c r="E328" s="86"/>
    </row>
    <row r="329" spans="5:5" ht="15.75" customHeight="1">
      <c r="E329" s="86"/>
    </row>
    <row r="330" spans="5:5" ht="15.75" customHeight="1">
      <c r="E330" s="86"/>
    </row>
    <row r="331" spans="5:5" ht="15.75" customHeight="1">
      <c r="E331" s="86"/>
    </row>
    <row r="332" spans="5:5" ht="15.75" customHeight="1">
      <c r="E332" s="86"/>
    </row>
    <row r="333" spans="5:5" ht="15.75" customHeight="1">
      <c r="E333" s="86"/>
    </row>
    <row r="334" spans="5:5" ht="15.75" customHeight="1">
      <c r="E334" s="86"/>
    </row>
    <row r="335" spans="5:5" ht="15.75" customHeight="1">
      <c r="E335" s="86"/>
    </row>
    <row r="336" spans="5:5" ht="15.75" customHeight="1">
      <c r="E336" s="86"/>
    </row>
    <row r="337" spans="5:5" ht="15.75" customHeight="1">
      <c r="E337" s="86"/>
    </row>
    <row r="338" spans="5:5" ht="15.75" customHeight="1">
      <c r="E338" s="86"/>
    </row>
    <row r="339" spans="5:5" ht="15.75" customHeight="1">
      <c r="E339" s="86"/>
    </row>
    <row r="340" spans="5:5" ht="15.75" customHeight="1">
      <c r="E340" s="86"/>
    </row>
    <row r="341" spans="5:5" ht="15.75" customHeight="1">
      <c r="E341" s="86"/>
    </row>
    <row r="342" spans="5:5" ht="15.75" customHeight="1">
      <c r="E342" s="86"/>
    </row>
    <row r="343" spans="5:5" ht="15.75" customHeight="1">
      <c r="E343" s="86"/>
    </row>
    <row r="344" spans="5:5" ht="15.75" customHeight="1">
      <c r="E344" s="86"/>
    </row>
    <row r="345" spans="5:5" ht="15.75" customHeight="1">
      <c r="E345" s="86"/>
    </row>
    <row r="346" spans="5:5" ht="15.75" customHeight="1">
      <c r="E346" s="86"/>
    </row>
    <row r="347" spans="5:5" ht="15.75" customHeight="1">
      <c r="E347" s="86"/>
    </row>
    <row r="348" spans="5:5" ht="15.75" customHeight="1">
      <c r="E348" s="86"/>
    </row>
    <row r="349" spans="5:5" ht="15.75" customHeight="1">
      <c r="E349" s="86"/>
    </row>
    <row r="350" spans="5:5" ht="15.75" customHeight="1">
      <c r="E350" s="86"/>
    </row>
    <row r="351" spans="5:5" ht="15.75" customHeight="1">
      <c r="E351" s="86"/>
    </row>
    <row r="352" spans="5:5" ht="15.75" customHeight="1">
      <c r="E352" s="86"/>
    </row>
    <row r="353" spans="5:5" ht="15.75" customHeight="1">
      <c r="E353" s="86"/>
    </row>
    <row r="354" spans="5:5" ht="15.75" customHeight="1">
      <c r="E354" s="86"/>
    </row>
    <row r="355" spans="5:5" ht="15.75" customHeight="1">
      <c r="E355" s="86"/>
    </row>
    <row r="356" spans="5:5" ht="15.75" customHeight="1">
      <c r="E356" s="86"/>
    </row>
    <row r="357" spans="5:5" ht="15.75" customHeight="1">
      <c r="E357" s="86"/>
    </row>
    <row r="358" spans="5:5" ht="15.75" customHeight="1">
      <c r="E358" s="86"/>
    </row>
    <row r="359" spans="5:5" ht="15.75" customHeight="1">
      <c r="E359" s="86"/>
    </row>
    <row r="360" spans="5:5" ht="15.75" customHeight="1">
      <c r="E360" s="86"/>
    </row>
    <row r="361" spans="5:5" ht="15.75" customHeight="1">
      <c r="E361" s="86"/>
    </row>
    <row r="362" spans="5:5" ht="15.75" customHeight="1">
      <c r="E362" s="86"/>
    </row>
    <row r="363" spans="5:5" ht="15.75" customHeight="1">
      <c r="E363" s="86"/>
    </row>
    <row r="364" spans="5:5" ht="15.75" customHeight="1">
      <c r="E364" s="86"/>
    </row>
    <row r="365" spans="5:5" ht="15.75" customHeight="1">
      <c r="E365" s="86"/>
    </row>
    <row r="366" spans="5:5" ht="15.75" customHeight="1">
      <c r="E366" s="86"/>
    </row>
    <row r="367" spans="5:5" ht="15.75" customHeight="1">
      <c r="E367" s="86"/>
    </row>
    <row r="368" spans="5:5" ht="15.75" customHeight="1">
      <c r="E368" s="86"/>
    </row>
    <row r="369" spans="5:5" ht="15.75" customHeight="1">
      <c r="E369" s="86"/>
    </row>
    <row r="370" spans="5:5" ht="15.75" customHeight="1">
      <c r="E370" s="86"/>
    </row>
    <row r="371" spans="5:5" ht="15.75" customHeight="1">
      <c r="E371" s="86"/>
    </row>
    <row r="372" spans="5:5" ht="15.75" customHeight="1">
      <c r="E372" s="86"/>
    </row>
    <row r="373" spans="5:5" ht="15.75" customHeight="1">
      <c r="E373" s="86"/>
    </row>
    <row r="374" spans="5:5" ht="15.75" customHeight="1">
      <c r="E374" s="86"/>
    </row>
    <row r="375" spans="5:5" ht="15.75" customHeight="1">
      <c r="E375" s="86"/>
    </row>
    <row r="376" spans="5:5" ht="15.75" customHeight="1">
      <c r="E376" s="86"/>
    </row>
    <row r="377" spans="5:5" ht="15.75" customHeight="1">
      <c r="E377" s="86"/>
    </row>
    <row r="378" spans="5:5" ht="15.75" customHeight="1">
      <c r="E378" s="86"/>
    </row>
    <row r="379" spans="5:5" ht="15.75" customHeight="1">
      <c r="E379" s="86"/>
    </row>
    <row r="380" spans="5:5" ht="15.75" customHeight="1">
      <c r="E380" s="86"/>
    </row>
    <row r="381" spans="5:5" ht="15.75" customHeight="1">
      <c r="E381" s="86"/>
    </row>
    <row r="382" spans="5:5" ht="15.75" customHeight="1">
      <c r="E382" s="86"/>
    </row>
    <row r="383" spans="5:5" ht="15.75" customHeight="1">
      <c r="E383" s="86"/>
    </row>
    <row r="384" spans="5:5" ht="15.75" customHeight="1">
      <c r="E384" s="86"/>
    </row>
    <row r="385" spans="5:5" ht="15.75" customHeight="1">
      <c r="E385" s="86"/>
    </row>
    <row r="386" spans="5:5" ht="15.75" customHeight="1">
      <c r="E386" s="86"/>
    </row>
    <row r="387" spans="5:5" ht="15.75" customHeight="1">
      <c r="E387" s="86"/>
    </row>
    <row r="388" spans="5:5" ht="15.75" customHeight="1">
      <c r="E388" s="86"/>
    </row>
    <row r="389" spans="5:5" ht="15.75" customHeight="1">
      <c r="E389" s="86"/>
    </row>
    <row r="390" spans="5:5" ht="15.75" customHeight="1">
      <c r="E390" s="86"/>
    </row>
    <row r="391" spans="5:5" ht="15.75" customHeight="1">
      <c r="E391" s="86"/>
    </row>
    <row r="392" spans="5:5" ht="15.75" customHeight="1">
      <c r="E392" s="86"/>
    </row>
    <row r="393" spans="5:5" ht="15.75" customHeight="1">
      <c r="E393" s="86"/>
    </row>
    <row r="394" spans="5:5" ht="15.75" customHeight="1">
      <c r="E394" s="86"/>
    </row>
    <row r="395" spans="5:5" ht="15.75" customHeight="1">
      <c r="E395" s="86"/>
    </row>
    <row r="396" spans="5:5" ht="15.75" customHeight="1">
      <c r="E396" s="86"/>
    </row>
    <row r="397" spans="5:5" ht="15.75" customHeight="1">
      <c r="E397" s="86"/>
    </row>
    <row r="398" spans="5:5" ht="15.75" customHeight="1">
      <c r="E398" s="86"/>
    </row>
    <row r="399" spans="5:5" ht="15.75" customHeight="1">
      <c r="E399" s="86"/>
    </row>
    <row r="400" spans="5:5" ht="15.75" customHeight="1">
      <c r="E400" s="86"/>
    </row>
    <row r="401" spans="5:5" ht="15.75" customHeight="1">
      <c r="E401" s="86"/>
    </row>
    <row r="402" spans="5:5" ht="15.75" customHeight="1">
      <c r="E402" s="86"/>
    </row>
    <row r="403" spans="5:5" ht="15.75" customHeight="1">
      <c r="E403" s="86"/>
    </row>
    <row r="404" spans="5:5" ht="15.75" customHeight="1">
      <c r="E404" s="86"/>
    </row>
    <row r="405" spans="5:5" ht="15.75" customHeight="1">
      <c r="E405" s="86"/>
    </row>
    <row r="406" spans="5:5" ht="15.75" customHeight="1">
      <c r="E406" s="86"/>
    </row>
    <row r="407" spans="5:5" ht="15.75" customHeight="1">
      <c r="E407" s="86"/>
    </row>
    <row r="408" spans="5:5" ht="15.75" customHeight="1">
      <c r="E408" s="86"/>
    </row>
    <row r="409" spans="5:5" ht="15.75" customHeight="1">
      <c r="E409" s="86"/>
    </row>
    <row r="410" spans="5:5" ht="15.75" customHeight="1">
      <c r="E410" s="86"/>
    </row>
    <row r="411" spans="5:5" ht="15.75" customHeight="1">
      <c r="E411" s="86"/>
    </row>
    <row r="412" spans="5:5" ht="15.75" customHeight="1">
      <c r="E412" s="86"/>
    </row>
    <row r="413" spans="5:5" ht="15.75" customHeight="1">
      <c r="E413" s="86"/>
    </row>
    <row r="414" spans="5:5" ht="15.75" customHeight="1">
      <c r="E414" s="86"/>
    </row>
    <row r="415" spans="5:5" ht="15.75" customHeight="1">
      <c r="E415" s="86"/>
    </row>
    <row r="416" spans="5:5" ht="15.75" customHeight="1">
      <c r="E416" s="86"/>
    </row>
    <row r="417" spans="5:5" ht="15.75" customHeight="1">
      <c r="E417" s="86"/>
    </row>
    <row r="418" spans="5:5" ht="15.75" customHeight="1">
      <c r="E418" s="86"/>
    </row>
    <row r="419" spans="5:5" ht="15.75" customHeight="1">
      <c r="E419" s="86"/>
    </row>
    <row r="420" spans="5:5" ht="15.75" customHeight="1">
      <c r="E420" s="86"/>
    </row>
    <row r="421" spans="5:5" ht="15.75" customHeight="1">
      <c r="E421" s="86"/>
    </row>
    <row r="422" spans="5:5" ht="15.75" customHeight="1">
      <c r="E422" s="86"/>
    </row>
    <row r="423" spans="5:5" ht="15.75" customHeight="1">
      <c r="E423" s="86"/>
    </row>
    <row r="424" spans="5:5" ht="15.75" customHeight="1">
      <c r="E424" s="86"/>
    </row>
    <row r="425" spans="5:5" ht="15.75" customHeight="1">
      <c r="E425" s="86"/>
    </row>
    <row r="426" spans="5:5" ht="15.75" customHeight="1">
      <c r="E426" s="86"/>
    </row>
    <row r="427" spans="5:5" ht="15.75" customHeight="1">
      <c r="E427" s="86"/>
    </row>
    <row r="428" spans="5:5" ht="15.75" customHeight="1">
      <c r="E428" s="86"/>
    </row>
    <row r="429" spans="5:5" ht="15.75" customHeight="1">
      <c r="E429" s="86"/>
    </row>
    <row r="430" spans="5:5" ht="15.75" customHeight="1">
      <c r="E430" s="86"/>
    </row>
    <row r="431" spans="5:5" ht="15.75" customHeight="1">
      <c r="E431" s="86"/>
    </row>
    <row r="432" spans="5:5" ht="15.75" customHeight="1">
      <c r="E432" s="86"/>
    </row>
    <row r="433" spans="5:5" ht="15.75" customHeight="1">
      <c r="E433" s="86"/>
    </row>
    <row r="434" spans="5:5" ht="15.75" customHeight="1">
      <c r="E434" s="86"/>
    </row>
    <row r="435" spans="5:5" ht="15.75" customHeight="1">
      <c r="E435" s="86"/>
    </row>
    <row r="436" spans="5:5" ht="15.75" customHeight="1">
      <c r="E436" s="86"/>
    </row>
    <row r="437" spans="5:5" ht="15.75" customHeight="1">
      <c r="E437" s="86"/>
    </row>
    <row r="438" spans="5:5" ht="15.75" customHeight="1">
      <c r="E438" s="86"/>
    </row>
    <row r="439" spans="5:5" ht="15.75" customHeight="1">
      <c r="E439" s="86"/>
    </row>
    <row r="440" spans="5:5" ht="15.75" customHeight="1">
      <c r="E440" s="86"/>
    </row>
    <row r="441" spans="5:5" ht="15.75" customHeight="1">
      <c r="E441" s="86"/>
    </row>
    <row r="442" spans="5:5" ht="15.75" customHeight="1">
      <c r="E442" s="86"/>
    </row>
    <row r="443" spans="5:5" ht="15.75" customHeight="1">
      <c r="E443" s="86"/>
    </row>
    <row r="444" spans="5:5" ht="15.75" customHeight="1">
      <c r="E444" s="86"/>
    </row>
    <row r="445" spans="5:5" ht="15.75" customHeight="1">
      <c r="E445" s="86"/>
    </row>
    <row r="446" spans="5:5" ht="15.75" customHeight="1">
      <c r="E446" s="86"/>
    </row>
    <row r="447" spans="5:5" ht="15.75" customHeight="1">
      <c r="E447" s="86"/>
    </row>
    <row r="448" spans="5:5" ht="15.75" customHeight="1">
      <c r="E448" s="86"/>
    </row>
    <row r="449" spans="5:5" ht="15.75" customHeight="1">
      <c r="E449" s="86"/>
    </row>
    <row r="450" spans="5:5" ht="15.75" customHeight="1">
      <c r="E450" s="86"/>
    </row>
    <row r="451" spans="5:5" ht="15.75" customHeight="1">
      <c r="E451" s="86"/>
    </row>
    <row r="452" spans="5:5" ht="15.75" customHeight="1">
      <c r="E452" s="86"/>
    </row>
    <row r="453" spans="5:5" ht="15.75" customHeight="1">
      <c r="E453" s="86"/>
    </row>
    <row r="454" spans="5:5" ht="15.75" customHeight="1">
      <c r="E454" s="86"/>
    </row>
    <row r="455" spans="5:5" ht="15.75" customHeight="1">
      <c r="E455" s="86"/>
    </row>
    <row r="456" spans="5:5" ht="15.75" customHeight="1">
      <c r="E456" s="86"/>
    </row>
    <row r="457" spans="5:5" ht="15.75" customHeight="1">
      <c r="E457" s="86"/>
    </row>
    <row r="458" spans="5:5" ht="15.75" customHeight="1">
      <c r="E458" s="86"/>
    </row>
    <row r="459" spans="5:5" ht="15.75" customHeight="1">
      <c r="E459" s="86"/>
    </row>
    <row r="460" spans="5:5" ht="15.75" customHeight="1">
      <c r="E460" s="86"/>
    </row>
    <row r="461" spans="5:5" ht="15.75" customHeight="1">
      <c r="E461" s="86"/>
    </row>
    <row r="462" spans="5:5" ht="15.75" customHeight="1">
      <c r="E462" s="86"/>
    </row>
    <row r="463" spans="5:5" ht="15.75" customHeight="1">
      <c r="E463" s="86"/>
    </row>
    <row r="464" spans="5:5" ht="15.75" customHeight="1">
      <c r="E464" s="86"/>
    </row>
    <row r="465" spans="5:5" ht="15.75" customHeight="1">
      <c r="E465" s="86"/>
    </row>
    <row r="466" spans="5:5" ht="15.75" customHeight="1">
      <c r="E466" s="86"/>
    </row>
    <row r="467" spans="5:5" ht="15.75" customHeight="1">
      <c r="E467" s="86"/>
    </row>
    <row r="468" spans="5:5" ht="15.75" customHeight="1">
      <c r="E468" s="86"/>
    </row>
    <row r="469" spans="5:5" ht="15.75" customHeight="1">
      <c r="E469" s="86"/>
    </row>
    <row r="470" spans="5:5" ht="15.75" customHeight="1">
      <c r="E470" s="86"/>
    </row>
    <row r="471" spans="5:5" ht="15.75" customHeight="1">
      <c r="E471" s="86"/>
    </row>
    <row r="472" spans="5:5" ht="15.75" customHeight="1">
      <c r="E472" s="86"/>
    </row>
    <row r="473" spans="5:5" ht="15.75" customHeight="1">
      <c r="E473" s="86"/>
    </row>
    <row r="474" spans="5:5" ht="15.75" customHeight="1">
      <c r="E474" s="86"/>
    </row>
    <row r="475" spans="5:5" ht="15.75" customHeight="1">
      <c r="E475" s="86"/>
    </row>
    <row r="476" spans="5:5" ht="15.75" customHeight="1">
      <c r="E476" s="86"/>
    </row>
    <row r="477" spans="5:5" ht="15.75" customHeight="1">
      <c r="E477" s="86"/>
    </row>
    <row r="478" spans="5:5" ht="15.75" customHeight="1">
      <c r="E478" s="86"/>
    </row>
    <row r="479" spans="5:5" ht="15.75" customHeight="1">
      <c r="E479" s="86"/>
    </row>
    <row r="480" spans="5:5" ht="15.75" customHeight="1">
      <c r="E480" s="86"/>
    </row>
    <row r="481" spans="5:5" ht="15.75" customHeight="1">
      <c r="E481" s="86"/>
    </row>
    <row r="482" spans="5:5" ht="15.75" customHeight="1">
      <c r="E482" s="86"/>
    </row>
    <row r="483" spans="5:5" ht="15.75" customHeight="1">
      <c r="E483" s="86"/>
    </row>
    <row r="484" spans="5:5" ht="15.75" customHeight="1">
      <c r="E484" s="86"/>
    </row>
    <row r="485" spans="5:5" ht="15.75" customHeight="1">
      <c r="E485" s="86"/>
    </row>
    <row r="486" spans="5:5" ht="15.75" customHeight="1">
      <c r="E486" s="86"/>
    </row>
    <row r="487" spans="5:5" ht="15.75" customHeight="1">
      <c r="E487" s="86"/>
    </row>
    <row r="488" spans="5:5" ht="15.75" customHeight="1">
      <c r="E488" s="86"/>
    </row>
    <row r="489" spans="5:5" ht="15.75" customHeight="1">
      <c r="E489" s="86"/>
    </row>
    <row r="490" spans="5:5" ht="15.75" customHeight="1">
      <c r="E490" s="86"/>
    </row>
    <row r="491" spans="5:5" ht="15.75" customHeight="1">
      <c r="E491" s="86"/>
    </row>
    <row r="492" spans="5:5" ht="15.75" customHeight="1">
      <c r="E492" s="86"/>
    </row>
    <row r="493" spans="5:5" ht="15.75" customHeight="1">
      <c r="E493" s="86"/>
    </row>
    <row r="494" spans="5:5" ht="15.75" customHeight="1">
      <c r="E494" s="86"/>
    </row>
    <row r="495" spans="5:5" ht="15.75" customHeight="1">
      <c r="E495" s="86"/>
    </row>
    <row r="496" spans="5:5" ht="15.75" customHeight="1">
      <c r="E496" s="86"/>
    </row>
    <row r="497" spans="5:5" ht="15.75" customHeight="1">
      <c r="E497" s="86"/>
    </row>
    <row r="498" spans="5:5" ht="15.75" customHeight="1">
      <c r="E498" s="86"/>
    </row>
    <row r="499" spans="5:5" ht="15.75" customHeight="1">
      <c r="E499" s="86"/>
    </row>
    <row r="500" spans="5:5" ht="15.75" customHeight="1">
      <c r="E500" s="86"/>
    </row>
    <row r="501" spans="5:5" ht="15.75" customHeight="1">
      <c r="E501" s="86"/>
    </row>
    <row r="502" spans="5:5" ht="15.75" customHeight="1">
      <c r="E502" s="86"/>
    </row>
    <row r="503" spans="5:5" ht="15.75" customHeight="1">
      <c r="E503" s="86"/>
    </row>
    <row r="504" spans="5:5" ht="15.75" customHeight="1">
      <c r="E504" s="86"/>
    </row>
    <row r="505" spans="5:5" ht="15.75" customHeight="1">
      <c r="E505" s="86"/>
    </row>
    <row r="506" spans="5:5" ht="15.75" customHeight="1">
      <c r="E506" s="86"/>
    </row>
    <row r="507" spans="5:5" ht="15.75" customHeight="1">
      <c r="E507" s="86"/>
    </row>
    <row r="508" spans="5:5" ht="15.75" customHeight="1">
      <c r="E508" s="86"/>
    </row>
    <row r="509" spans="5:5" ht="15.75" customHeight="1">
      <c r="E509" s="86"/>
    </row>
    <row r="510" spans="5:5" ht="15.75" customHeight="1">
      <c r="E510" s="86"/>
    </row>
    <row r="511" spans="5:5" ht="15.75" customHeight="1">
      <c r="E511" s="86"/>
    </row>
    <row r="512" spans="5:5" ht="15.75" customHeight="1">
      <c r="E512" s="86"/>
    </row>
    <row r="513" spans="5:5" ht="15.75" customHeight="1">
      <c r="E513" s="86"/>
    </row>
    <row r="514" spans="5:5" ht="15.75" customHeight="1">
      <c r="E514" s="86"/>
    </row>
    <row r="515" spans="5:5" ht="15.75" customHeight="1">
      <c r="E515" s="86"/>
    </row>
    <row r="516" spans="5:5" ht="15.75" customHeight="1">
      <c r="E516" s="86"/>
    </row>
    <row r="517" spans="5:5" ht="15.75" customHeight="1">
      <c r="E517" s="86"/>
    </row>
    <row r="518" spans="5:5" ht="15.75" customHeight="1">
      <c r="E518" s="86"/>
    </row>
    <row r="519" spans="5:5" ht="15.75" customHeight="1">
      <c r="E519" s="86"/>
    </row>
    <row r="520" spans="5:5" ht="15.75" customHeight="1">
      <c r="E520" s="86"/>
    </row>
    <row r="521" spans="5:5" ht="15.75" customHeight="1">
      <c r="E521" s="86"/>
    </row>
    <row r="522" spans="5:5" ht="15.75" customHeight="1">
      <c r="E522" s="86"/>
    </row>
    <row r="523" spans="5:5" ht="15.75" customHeight="1">
      <c r="E523" s="86"/>
    </row>
    <row r="524" spans="5:5" ht="15.75" customHeight="1">
      <c r="E524" s="86"/>
    </row>
    <row r="525" spans="5:5" ht="15.75" customHeight="1">
      <c r="E525" s="86"/>
    </row>
    <row r="526" spans="5:5" ht="15.75" customHeight="1">
      <c r="E526" s="86"/>
    </row>
    <row r="527" spans="5:5" ht="15.75" customHeight="1">
      <c r="E527" s="86"/>
    </row>
    <row r="528" spans="5:5" ht="15.75" customHeight="1">
      <c r="E528" s="86"/>
    </row>
    <row r="529" spans="5:5" ht="15.75" customHeight="1">
      <c r="E529" s="86"/>
    </row>
    <row r="530" spans="5:5" ht="15.75" customHeight="1">
      <c r="E530" s="86"/>
    </row>
    <row r="531" spans="5:5" ht="15.75" customHeight="1">
      <c r="E531" s="86"/>
    </row>
    <row r="532" spans="5:5" ht="15.75" customHeight="1">
      <c r="E532" s="86"/>
    </row>
    <row r="533" spans="5:5" ht="15.75" customHeight="1">
      <c r="E533" s="86"/>
    </row>
    <row r="534" spans="5:5" ht="15.75" customHeight="1">
      <c r="E534" s="86"/>
    </row>
    <row r="535" spans="5:5" ht="15.75" customHeight="1">
      <c r="E535" s="86"/>
    </row>
    <row r="536" spans="5:5" ht="15.75" customHeight="1">
      <c r="E536" s="86"/>
    </row>
    <row r="537" spans="5:5" ht="15.75" customHeight="1">
      <c r="E537" s="86"/>
    </row>
    <row r="538" spans="5:5" ht="15.75" customHeight="1">
      <c r="E538" s="86"/>
    </row>
    <row r="539" spans="5:5" ht="15.75" customHeight="1">
      <c r="E539" s="86"/>
    </row>
    <row r="540" spans="5:5" ht="15.75" customHeight="1">
      <c r="E540" s="86"/>
    </row>
    <row r="541" spans="5:5" ht="15.75" customHeight="1">
      <c r="E541" s="86"/>
    </row>
    <row r="542" spans="5:5" ht="15.75" customHeight="1">
      <c r="E542" s="86"/>
    </row>
    <row r="543" spans="5:5" ht="15.75" customHeight="1">
      <c r="E543" s="86"/>
    </row>
    <row r="544" spans="5:5" ht="15.75" customHeight="1">
      <c r="E544" s="86"/>
    </row>
    <row r="545" spans="5:5" ht="15.75" customHeight="1">
      <c r="E545" s="86"/>
    </row>
    <row r="546" spans="5:5" ht="15.75" customHeight="1">
      <c r="E546" s="86"/>
    </row>
    <row r="547" spans="5:5" ht="15.75" customHeight="1">
      <c r="E547" s="86"/>
    </row>
    <row r="548" spans="5:5" ht="15.75" customHeight="1">
      <c r="E548" s="86"/>
    </row>
    <row r="549" spans="5:5" ht="15.75" customHeight="1">
      <c r="E549" s="86"/>
    </row>
    <row r="550" spans="5:5" ht="15.75" customHeight="1">
      <c r="E550" s="86"/>
    </row>
    <row r="551" spans="5:5" ht="15.75" customHeight="1">
      <c r="E551" s="86"/>
    </row>
    <row r="552" spans="5:5" ht="15.75" customHeight="1">
      <c r="E552" s="86"/>
    </row>
    <row r="553" spans="5:5" ht="15.75" customHeight="1">
      <c r="E553" s="86"/>
    </row>
    <row r="554" spans="5:5" ht="15.75" customHeight="1">
      <c r="E554" s="86"/>
    </row>
    <row r="555" spans="5:5" ht="15.75" customHeight="1">
      <c r="E555" s="86"/>
    </row>
    <row r="556" spans="5:5" ht="15.75" customHeight="1">
      <c r="E556" s="86"/>
    </row>
    <row r="557" spans="5:5" ht="15.75" customHeight="1">
      <c r="E557" s="86"/>
    </row>
    <row r="558" spans="5:5" ht="15.75" customHeight="1">
      <c r="E558" s="86"/>
    </row>
    <row r="559" spans="5:5" ht="15.75" customHeight="1">
      <c r="E559" s="86"/>
    </row>
    <row r="560" spans="5:5" ht="15.75" customHeight="1">
      <c r="E560" s="86"/>
    </row>
    <row r="561" spans="5:5" ht="15.75" customHeight="1">
      <c r="E561" s="86"/>
    </row>
    <row r="562" spans="5:5" ht="15.75" customHeight="1">
      <c r="E562" s="86"/>
    </row>
    <row r="563" spans="5:5" ht="15.75" customHeight="1">
      <c r="E563" s="86"/>
    </row>
    <row r="564" spans="5:5" ht="15.75" customHeight="1">
      <c r="E564" s="86"/>
    </row>
    <row r="565" spans="5:5" ht="15.75" customHeight="1">
      <c r="E565" s="86"/>
    </row>
    <row r="566" spans="5:5" ht="15.75" customHeight="1">
      <c r="E566" s="86"/>
    </row>
    <row r="567" spans="5:5" ht="15.75" customHeight="1">
      <c r="E567" s="86"/>
    </row>
    <row r="568" spans="5:5" ht="15.75" customHeight="1">
      <c r="E568" s="86"/>
    </row>
    <row r="569" spans="5:5" ht="15.75" customHeight="1">
      <c r="E569" s="86"/>
    </row>
    <row r="570" spans="5:5" ht="15.75" customHeight="1">
      <c r="E570" s="86"/>
    </row>
    <row r="571" spans="5:5" ht="15.75" customHeight="1">
      <c r="E571" s="86"/>
    </row>
    <row r="572" spans="5:5" ht="15.75" customHeight="1">
      <c r="E572" s="86"/>
    </row>
    <row r="573" spans="5:5" ht="15.75" customHeight="1">
      <c r="E573" s="86"/>
    </row>
    <row r="574" spans="5:5" ht="15.75" customHeight="1">
      <c r="E574" s="86"/>
    </row>
    <row r="575" spans="5:5" ht="15.75" customHeight="1">
      <c r="E575" s="86"/>
    </row>
    <row r="576" spans="5:5" ht="15.75" customHeight="1">
      <c r="E576" s="86"/>
    </row>
    <row r="577" spans="5:5" ht="15.75" customHeight="1">
      <c r="E577" s="86"/>
    </row>
    <row r="578" spans="5:5" ht="15.75" customHeight="1">
      <c r="E578" s="86"/>
    </row>
    <row r="579" spans="5:5" ht="15.75" customHeight="1">
      <c r="E579" s="86"/>
    </row>
    <row r="580" spans="5:5" ht="15.75" customHeight="1">
      <c r="E580" s="86"/>
    </row>
    <row r="581" spans="5:5" ht="15.75" customHeight="1">
      <c r="E581" s="86"/>
    </row>
    <row r="582" spans="5:5" ht="15.75" customHeight="1">
      <c r="E582" s="86"/>
    </row>
    <row r="583" spans="5:5" ht="15.75" customHeight="1">
      <c r="E583" s="86"/>
    </row>
    <row r="584" spans="5:5" ht="15.75" customHeight="1">
      <c r="E584" s="86"/>
    </row>
    <row r="585" spans="5:5" ht="15.75" customHeight="1">
      <c r="E585" s="86"/>
    </row>
    <row r="586" spans="5:5" ht="15.75" customHeight="1">
      <c r="E586" s="86"/>
    </row>
    <row r="587" spans="5:5" ht="15.75" customHeight="1">
      <c r="E587" s="86"/>
    </row>
    <row r="588" spans="5:5" ht="15.75" customHeight="1">
      <c r="E588" s="86"/>
    </row>
    <row r="589" spans="5:5" ht="15.75" customHeight="1">
      <c r="E589" s="86"/>
    </row>
    <row r="590" spans="5:5" ht="15.75" customHeight="1">
      <c r="E590" s="86"/>
    </row>
    <row r="591" spans="5:5" ht="15.75" customHeight="1">
      <c r="E591" s="86"/>
    </row>
    <row r="592" spans="5:5" ht="15.75" customHeight="1">
      <c r="E592" s="86"/>
    </row>
    <row r="593" spans="5:5" ht="15.75" customHeight="1">
      <c r="E593" s="86"/>
    </row>
    <row r="594" spans="5:5" ht="15.75" customHeight="1">
      <c r="E594" s="86"/>
    </row>
    <row r="595" spans="5:5" ht="15.75" customHeight="1">
      <c r="E595" s="86"/>
    </row>
    <row r="596" spans="5:5" ht="15.75" customHeight="1">
      <c r="E596" s="86"/>
    </row>
    <row r="597" spans="5:5" ht="15.75" customHeight="1">
      <c r="E597" s="86"/>
    </row>
    <row r="598" spans="5:5" ht="15.75" customHeight="1">
      <c r="E598" s="86"/>
    </row>
    <row r="599" spans="5:5" ht="15.75" customHeight="1">
      <c r="E599" s="86"/>
    </row>
    <row r="600" spans="5:5" ht="15.75" customHeight="1">
      <c r="E600" s="86"/>
    </row>
    <row r="601" spans="5:5" ht="15.75" customHeight="1">
      <c r="E601" s="86"/>
    </row>
    <row r="602" spans="5:5" ht="15.75" customHeight="1">
      <c r="E602" s="86"/>
    </row>
    <row r="603" spans="5:5" ht="15.75" customHeight="1">
      <c r="E603" s="86"/>
    </row>
    <row r="604" spans="5:5" ht="15.75" customHeight="1">
      <c r="E604" s="86"/>
    </row>
    <row r="605" spans="5:5" ht="15.75" customHeight="1">
      <c r="E605" s="86"/>
    </row>
    <row r="606" spans="5:5" ht="15.75" customHeight="1">
      <c r="E606" s="86"/>
    </row>
    <row r="607" spans="5:5" ht="15.75" customHeight="1">
      <c r="E607" s="86"/>
    </row>
    <row r="608" spans="5:5" ht="15.75" customHeight="1">
      <c r="E608" s="86"/>
    </row>
    <row r="609" spans="5:5" ht="15.75" customHeight="1">
      <c r="E609" s="86"/>
    </row>
    <row r="610" spans="5:5" ht="15.75" customHeight="1">
      <c r="E610" s="86"/>
    </row>
    <row r="611" spans="5:5" ht="15.75" customHeight="1">
      <c r="E611" s="86"/>
    </row>
    <row r="612" spans="5:5" ht="15.75" customHeight="1">
      <c r="E612" s="86"/>
    </row>
    <row r="613" spans="5:5" ht="15.75" customHeight="1">
      <c r="E613" s="86"/>
    </row>
    <row r="614" spans="5:5" ht="15.75" customHeight="1">
      <c r="E614" s="86"/>
    </row>
    <row r="615" spans="5:5" ht="15.75" customHeight="1">
      <c r="E615" s="86"/>
    </row>
    <row r="616" spans="5:5" ht="15.75" customHeight="1">
      <c r="E616" s="86"/>
    </row>
    <row r="617" spans="5:5" ht="15.75" customHeight="1">
      <c r="E617" s="86"/>
    </row>
    <row r="618" spans="5:5" ht="15.75" customHeight="1">
      <c r="E618" s="86"/>
    </row>
    <row r="619" spans="5:5" ht="15.75" customHeight="1">
      <c r="E619" s="86"/>
    </row>
    <row r="620" spans="5:5" ht="15.75" customHeight="1">
      <c r="E620" s="86"/>
    </row>
    <row r="621" spans="5:5" ht="15.75" customHeight="1">
      <c r="E621" s="86"/>
    </row>
    <row r="622" spans="5:5" ht="15.75" customHeight="1">
      <c r="E622" s="86"/>
    </row>
    <row r="623" spans="5:5" ht="15.75" customHeight="1">
      <c r="E623" s="86"/>
    </row>
    <row r="624" spans="5:5" ht="15.75" customHeight="1">
      <c r="E624" s="86"/>
    </row>
    <row r="625" spans="5:5" ht="15.75" customHeight="1">
      <c r="E625" s="86"/>
    </row>
    <row r="626" spans="5:5" ht="15.75" customHeight="1">
      <c r="E626" s="86"/>
    </row>
    <row r="627" spans="5:5" ht="15.75" customHeight="1">
      <c r="E627" s="86"/>
    </row>
    <row r="628" spans="5:5" ht="15.75" customHeight="1">
      <c r="E628" s="86"/>
    </row>
    <row r="629" spans="5:5" ht="15.75" customHeight="1">
      <c r="E629" s="86"/>
    </row>
    <row r="630" spans="5:5" ht="15.75" customHeight="1">
      <c r="E630" s="86"/>
    </row>
    <row r="631" spans="5:5" ht="15.75" customHeight="1">
      <c r="E631" s="86"/>
    </row>
    <row r="632" spans="5:5" ht="15.75" customHeight="1">
      <c r="E632" s="86"/>
    </row>
    <row r="633" spans="5:5" ht="15.75" customHeight="1">
      <c r="E633" s="86"/>
    </row>
    <row r="634" spans="5:5" ht="15.75" customHeight="1">
      <c r="E634" s="86"/>
    </row>
    <row r="635" spans="5:5" ht="15.75" customHeight="1">
      <c r="E635" s="86"/>
    </row>
    <row r="636" spans="5:5" ht="15.75" customHeight="1">
      <c r="E636" s="86"/>
    </row>
    <row r="637" spans="5:5" ht="15.75" customHeight="1">
      <c r="E637" s="86"/>
    </row>
    <row r="638" spans="5:5" ht="15.75" customHeight="1">
      <c r="E638" s="86"/>
    </row>
    <row r="639" spans="5:5" ht="15.75" customHeight="1">
      <c r="E639" s="86"/>
    </row>
    <row r="640" spans="5:5" ht="15.75" customHeight="1">
      <c r="E640" s="86"/>
    </row>
    <row r="641" spans="5:5" ht="15.75" customHeight="1">
      <c r="E641" s="86"/>
    </row>
    <row r="642" spans="5:5" ht="15.75" customHeight="1">
      <c r="E642" s="86"/>
    </row>
    <row r="643" spans="5:5" ht="15.75" customHeight="1">
      <c r="E643" s="86"/>
    </row>
    <row r="644" spans="5:5" ht="15.75" customHeight="1">
      <c r="E644" s="86"/>
    </row>
    <row r="645" spans="5:5" ht="15.75" customHeight="1">
      <c r="E645" s="86"/>
    </row>
    <row r="646" spans="5:5" ht="15.75" customHeight="1">
      <c r="E646" s="86"/>
    </row>
    <row r="647" spans="5:5" ht="15.75" customHeight="1">
      <c r="E647" s="86"/>
    </row>
    <row r="648" spans="5:5" ht="15.75" customHeight="1">
      <c r="E648" s="86"/>
    </row>
    <row r="649" spans="5:5" ht="15.75" customHeight="1">
      <c r="E649" s="86"/>
    </row>
    <row r="650" spans="5:5" ht="15.75" customHeight="1">
      <c r="E650" s="86"/>
    </row>
    <row r="651" spans="5:5" ht="15.75" customHeight="1">
      <c r="E651" s="86"/>
    </row>
    <row r="652" spans="5:5" ht="15.75" customHeight="1">
      <c r="E652" s="86"/>
    </row>
    <row r="653" spans="5:5" ht="15.75" customHeight="1">
      <c r="E653" s="86"/>
    </row>
    <row r="654" spans="5:5" ht="15.75" customHeight="1">
      <c r="E654" s="86"/>
    </row>
    <row r="655" spans="5:5" ht="15.75" customHeight="1">
      <c r="E655" s="86"/>
    </row>
    <row r="656" spans="5:5" ht="15.75" customHeight="1">
      <c r="E656" s="86"/>
    </row>
    <row r="657" spans="5:5" ht="15.75" customHeight="1">
      <c r="E657" s="86"/>
    </row>
    <row r="658" spans="5:5" ht="15.75" customHeight="1">
      <c r="E658" s="86"/>
    </row>
    <row r="659" spans="5:5" ht="15.75" customHeight="1">
      <c r="E659" s="86"/>
    </row>
    <row r="660" spans="5:5" ht="15.75" customHeight="1">
      <c r="E660" s="86"/>
    </row>
    <row r="661" spans="5:5" ht="15.75" customHeight="1">
      <c r="E661" s="86"/>
    </row>
    <row r="662" spans="5:5" ht="15.75" customHeight="1">
      <c r="E662" s="86"/>
    </row>
    <row r="663" spans="5:5" ht="15.75" customHeight="1">
      <c r="E663" s="86"/>
    </row>
    <row r="664" spans="5:5" ht="15.75" customHeight="1">
      <c r="E664" s="86"/>
    </row>
    <row r="665" spans="5:5" ht="15.75" customHeight="1">
      <c r="E665" s="86"/>
    </row>
    <row r="666" spans="5:5" ht="15.75" customHeight="1">
      <c r="E666" s="86"/>
    </row>
    <row r="667" spans="5:5" ht="15.75" customHeight="1">
      <c r="E667" s="86"/>
    </row>
    <row r="668" spans="5:5" ht="15.75" customHeight="1">
      <c r="E668" s="86"/>
    </row>
    <row r="669" spans="5:5" ht="15.75" customHeight="1">
      <c r="E669" s="86"/>
    </row>
    <row r="670" spans="5:5" ht="15.75" customHeight="1">
      <c r="E670" s="86"/>
    </row>
    <row r="671" spans="5:5" ht="15.75" customHeight="1">
      <c r="E671" s="86"/>
    </row>
    <row r="672" spans="5:5" ht="15.75" customHeight="1">
      <c r="E672" s="86"/>
    </row>
    <row r="673" spans="5:5" ht="15.75" customHeight="1">
      <c r="E673" s="86"/>
    </row>
    <row r="674" spans="5:5" ht="15.75" customHeight="1">
      <c r="E674" s="86"/>
    </row>
    <row r="675" spans="5:5" ht="15.75" customHeight="1">
      <c r="E675" s="86"/>
    </row>
    <row r="676" spans="5:5" ht="15.75" customHeight="1">
      <c r="E676" s="86"/>
    </row>
    <row r="677" spans="5:5" ht="15.75" customHeight="1">
      <c r="E677" s="86"/>
    </row>
    <row r="678" spans="5:5" ht="15.75" customHeight="1">
      <c r="E678" s="86"/>
    </row>
    <row r="679" spans="5:5" ht="15.75" customHeight="1">
      <c r="E679" s="86"/>
    </row>
    <row r="680" spans="5:5" ht="15.75" customHeight="1">
      <c r="E680" s="86"/>
    </row>
    <row r="681" spans="5:5" ht="15.75" customHeight="1">
      <c r="E681" s="86"/>
    </row>
    <row r="682" spans="5:5" ht="15.75" customHeight="1">
      <c r="E682" s="86"/>
    </row>
    <row r="683" spans="5:5" ht="15.75" customHeight="1">
      <c r="E683" s="86"/>
    </row>
    <row r="684" spans="5:5" ht="15.75" customHeight="1">
      <c r="E684" s="86"/>
    </row>
    <row r="685" spans="5:5" ht="15.75" customHeight="1">
      <c r="E685" s="86"/>
    </row>
    <row r="686" spans="5:5" ht="15.75" customHeight="1">
      <c r="E686" s="86"/>
    </row>
    <row r="687" spans="5:5" ht="15.75" customHeight="1">
      <c r="E687" s="86"/>
    </row>
    <row r="688" spans="5:5" ht="15.75" customHeight="1">
      <c r="E688" s="86"/>
    </row>
    <row r="689" spans="5:5" ht="15.75" customHeight="1">
      <c r="E689" s="86"/>
    </row>
    <row r="690" spans="5:5" ht="15.75" customHeight="1">
      <c r="E690" s="86"/>
    </row>
    <row r="691" spans="5:5" ht="15.75" customHeight="1">
      <c r="E691" s="86"/>
    </row>
    <row r="692" spans="5:5" ht="15.75" customHeight="1">
      <c r="E692" s="86"/>
    </row>
    <row r="693" spans="5:5" ht="15.75" customHeight="1">
      <c r="E693" s="86"/>
    </row>
    <row r="694" spans="5:5" ht="15.75" customHeight="1">
      <c r="E694" s="86"/>
    </row>
    <row r="695" spans="5:5" ht="15.75" customHeight="1">
      <c r="E695" s="86"/>
    </row>
    <row r="696" spans="5:5" ht="15.75" customHeight="1">
      <c r="E696" s="86"/>
    </row>
    <row r="697" spans="5:5" ht="15.75" customHeight="1">
      <c r="E697" s="86"/>
    </row>
    <row r="698" spans="5:5" ht="15.75" customHeight="1">
      <c r="E698" s="86"/>
    </row>
    <row r="699" spans="5:5" ht="15.75" customHeight="1">
      <c r="E699" s="86"/>
    </row>
    <row r="700" spans="5:5" ht="15.75" customHeight="1">
      <c r="E700" s="86"/>
    </row>
    <row r="701" spans="5:5" ht="15.75" customHeight="1">
      <c r="E701" s="86"/>
    </row>
    <row r="702" spans="5:5" ht="15.75" customHeight="1">
      <c r="E702" s="86"/>
    </row>
    <row r="703" spans="5:5" ht="15.75" customHeight="1">
      <c r="E703" s="86"/>
    </row>
    <row r="704" spans="5:5" ht="15.75" customHeight="1">
      <c r="E704" s="86"/>
    </row>
    <row r="705" spans="5:5" ht="15.75" customHeight="1">
      <c r="E705" s="86"/>
    </row>
    <row r="706" spans="5:5" ht="15.75" customHeight="1">
      <c r="E706" s="86"/>
    </row>
    <row r="707" spans="5:5" ht="15.75" customHeight="1">
      <c r="E707" s="86"/>
    </row>
    <row r="708" spans="5:5" ht="15.75" customHeight="1">
      <c r="E708" s="86"/>
    </row>
    <row r="709" spans="5:5" ht="15.75" customHeight="1">
      <c r="E709" s="86"/>
    </row>
    <row r="710" spans="5:5" ht="15.75" customHeight="1">
      <c r="E710" s="86"/>
    </row>
    <row r="711" spans="5:5" ht="15.75" customHeight="1">
      <c r="E711" s="86"/>
    </row>
    <row r="712" spans="5:5" ht="15.75" customHeight="1">
      <c r="E712" s="86"/>
    </row>
    <row r="713" spans="5:5" ht="15.75" customHeight="1">
      <c r="E713" s="86"/>
    </row>
    <row r="714" spans="5:5" ht="15.75" customHeight="1">
      <c r="E714" s="86"/>
    </row>
    <row r="715" spans="5:5" ht="15.75" customHeight="1">
      <c r="E715" s="86"/>
    </row>
    <row r="716" spans="5:5" ht="15.75" customHeight="1">
      <c r="E716" s="86"/>
    </row>
    <row r="717" spans="5:5" ht="15.75" customHeight="1">
      <c r="E717" s="86"/>
    </row>
    <row r="718" spans="5:5" ht="15.75" customHeight="1">
      <c r="E718" s="86"/>
    </row>
    <row r="719" spans="5:5" ht="15.75" customHeight="1">
      <c r="E719" s="86"/>
    </row>
    <row r="720" spans="5:5" ht="15.75" customHeight="1">
      <c r="E720" s="86"/>
    </row>
    <row r="721" spans="5:5" ht="15.75" customHeight="1">
      <c r="E721" s="86"/>
    </row>
    <row r="722" spans="5:5" ht="15.75" customHeight="1">
      <c r="E722" s="86"/>
    </row>
    <row r="723" spans="5:5" ht="15.75" customHeight="1">
      <c r="E723" s="86"/>
    </row>
    <row r="724" spans="5:5" ht="15.75" customHeight="1">
      <c r="E724" s="86"/>
    </row>
    <row r="725" spans="5:5" ht="15.75" customHeight="1">
      <c r="E725" s="86"/>
    </row>
    <row r="726" spans="5:5" ht="15.75" customHeight="1">
      <c r="E726" s="86"/>
    </row>
    <row r="727" spans="5:5" ht="15.75" customHeight="1">
      <c r="E727" s="86"/>
    </row>
    <row r="728" spans="5:5" ht="15.75" customHeight="1">
      <c r="E728" s="86"/>
    </row>
    <row r="729" spans="5:5" ht="15.75" customHeight="1">
      <c r="E729" s="86"/>
    </row>
    <row r="730" spans="5:5" ht="15.75" customHeight="1">
      <c r="E730" s="86"/>
    </row>
    <row r="731" spans="5:5" ht="15.75" customHeight="1">
      <c r="E731" s="86"/>
    </row>
    <row r="732" spans="5:5" ht="15.75" customHeight="1">
      <c r="E732" s="86"/>
    </row>
    <row r="733" spans="5:5" ht="15.75" customHeight="1">
      <c r="E733" s="86"/>
    </row>
    <row r="734" spans="5:5" ht="15.75" customHeight="1">
      <c r="E734" s="86"/>
    </row>
    <row r="735" spans="5:5" ht="15.75" customHeight="1">
      <c r="E735" s="86"/>
    </row>
    <row r="736" spans="5:5" ht="15.75" customHeight="1">
      <c r="E736" s="86"/>
    </row>
    <row r="737" spans="5:5" ht="15.75" customHeight="1">
      <c r="E737" s="86"/>
    </row>
    <row r="738" spans="5:5" ht="15.75" customHeight="1">
      <c r="E738" s="86"/>
    </row>
    <row r="739" spans="5:5" ht="15.75" customHeight="1">
      <c r="E739" s="86"/>
    </row>
    <row r="740" spans="5:5" ht="15.75" customHeight="1">
      <c r="E740" s="86"/>
    </row>
    <row r="741" spans="5:5" ht="15.75" customHeight="1">
      <c r="E741" s="86"/>
    </row>
    <row r="742" spans="5:5" ht="15.75" customHeight="1">
      <c r="E742" s="86"/>
    </row>
    <row r="743" spans="5:5" ht="15.75" customHeight="1">
      <c r="E743" s="86"/>
    </row>
    <row r="744" spans="5:5" ht="15.75" customHeight="1">
      <c r="E744" s="86"/>
    </row>
    <row r="745" spans="5:5" ht="15.75" customHeight="1">
      <c r="E745" s="86"/>
    </row>
    <row r="746" spans="5:5" ht="15.75" customHeight="1">
      <c r="E746" s="86"/>
    </row>
    <row r="747" spans="5:5" ht="15.75" customHeight="1">
      <c r="E747" s="86"/>
    </row>
    <row r="748" spans="5:5" ht="15.75" customHeight="1">
      <c r="E748" s="86"/>
    </row>
    <row r="749" spans="5:5" ht="15.75" customHeight="1">
      <c r="E749" s="86"/>
    </row>
    <row r="750" spans="5:5" ht="15.75" customHeight="1">
      <c r="E750" s="86"/>
    </row>
    <row r="751" spans="5:5" ht="15.75" customHeight="1">
      <c r="E751" s="86"/>
    </row>
    <row r="752" spans="5:5" ht="15.75" customHeight="1">
      <c r="E752" s="86"/>
    </row>
    <row r="753" spans="5:5" ht="15.75" customHeight="1">
      <c r="E753" s="86"/>
    </row>
    <row r="754" spans="5:5" ht="15.75" customHeight="1">
      <c r="E754" s="86"/>
    </row>
    <row r="755" spans="5:5" ht="15.75" customHeight="1">
      <c r="E755" s="86"/>
    </row>
    <row r="756" spans="5:5" ht="15.75" customHeight="1">
      <c r="E756" s="86"/>
    </row>
    <row r="757" spans="5:5" ht="15.75" customHeight="1">
      <c r="E757" s="86"/>
    </row>
    <row r="758" spans="5:5" ht="15.75" customHeight="1">
      <c r="E758" s="86"/>
    </row>
    <row r="759" spans="5:5" ht="15.75" customHeight="1">
      <c r="E759" s="86"/>
    </row>
    <row r="760" spans="5:5" ht="15.75" customHeight="1">
      <c r="E760" s="86"/>
    </row>
    <row r="761" spans="5:5" ht="15.75" customHeight="1">
      <c r="E761" s="86"/>
    </row>
    <row r="762" spans="5:5" ht="15.75" customHeight="1">
      <c r="E762" s="86"/>
    </row>
    <row r="763" spans="5:5" ht="15.75" customHeight="1">
      <c r="E763" s="86"/>
    </row>
    <row r="764" spans="5:5" ht="15.75" customHeight="1">
      <c r="E764" s="86"/>
    </row>
    <row r="765" spans="5:5" ht="15.75" customHeight="1">
      <c r="E765" s="86"/>
    </row>
    <row r="766" spans="5:5" ht="15.75" customHeight="1">
      <c r="E766" s="86"/>
    </row>
    <row r="767" spans="5:5" ht="15.75" customHeight="1">
      <c r="E767" s="86"/>
    </row>
    <row r="768" spans="5:5" ht="15.75" customHeight="1">
      <c r="E768" s="86"/>
    </row>
    <row r="769" spans="5:5" ht="15.75" customHeight="1">
      <c r="E769" s="86"/>
    </row>
    <row r="770" spans="5:5" ht="15.75" customHeight="1">
      <c r="E770" s="86"/>
    </row>
    <row r="771" spans="5:5" ht="15.75" customHeight="1">
      <c r="E771" s="86"/>
    </row>
    <row r="772" spans="5:5" ht="15.75" customHeight="1">
      <c r="E772" s="86"/>
    </row>
    <row r="773" spans="5:5" ht="15.75" customHeight="1">
      <c r="E773" s="86"/>
    </row>
    <row r="774" spans="5:5" ht="15.75" customHeight="1">
      <c r="E774" s="86"/>
    </row>
    <row r="775" spans="5:5" ht="15.75" customHeight="1">
      <c r="E775" s="86"/>
    </row>
    <row r="776" spans="5:5" ht="15.75" customHeight="1">
      <c r="E776" s="86"/>
    </row>
    <row r="777" spans="5:5" ht="15.75" customHeight="1">
      <c r="E777" s="86"/>
    </row>
    <row r="778" spans="5:5" ht="15.75" customHeight="1">
      <c r="E778" s="86"/>
    </row>
    <row r="779" spans="5:5" ht="15.75" customHeight="1">
      <c r="E779" s="86"/>
    </row>
    <row r="780" spans="5:5" ht="15.75" customHeight="1">
      <c r="E780" s="86"/>
    </row>
    <row r="781" spans="5:5" ht="15.75" customHeight="1">
      <c r="E781" s="86"/>
    </row>
    <row r="782" spans="5:5" ht="15.75" customHeight="1">
      <c r="E782" s="86"/>
    </row>
    <row r="783" spans="5:5" ht="15.75" customHeight="1">
      <c r="E783" s="86"/>
    </row>
    <row r="784" spans="5:5" ht="15.75" customHeight="1">
      <c r="E784" s="86"/>
    </row>
    <row r="785" spans="5:5" ht="15.75" customHeight="1">
      <c r="E785" s="86"/>
    </row>
    <row r="786" spans="5:5" ht="15.75" customHeight="1">
      <c r="E786" s="86"/>
    </row>
    <row r="787" spans="5:5" ht="15.75" customHeight="1">
      <c r="E787" s="86"/>
    </row>
    <row r="788" spans="5:5" ht="15.75" customHeight="1">
      <c r="E788" s="86"/>
    </row>
    <row r="789" spans="5:5" ht="15.75" customHeight="1">
      <c r="E789" s="86"/>
    </row>
    <row r="790" spans="5:5" ht="15.75" customHeight="1">
      <c r="E790" s="86"/>
    </row>
    <row r="791" spans="5:5" ht="15.75" customHeight="1">
      <c r="E791" s="86"/>
    </row>
    <row r="792" spans="5:5" ht="15.75" customHeight="1">
      <c r="E792" s="86"/>
    </row>
    <row r="793" spans="5:5" ht="15.75" customHeight="1">
      <c r="E793" s="86"/>
    </row>
    <row r="794" spans="5:5" ht="15.75" customHeight="1">
      <c r="E794" s="86"/>
    </row>
    <row r="795" spans="5:5" ht="15.75" customHeight="1">
      <c r="E795" s="86"/>
    </row>
    <row r="796" spans="5:5" ht="15.75" customHeight="1">
      <c r="E796" s="86"/>
    </row>
    <row r="797" spans="5:5" ht="15.75" customHeight="1">
      <c r="E797" s="86"/>
    </row>
    <row r="798" spans="5:5" ht="15.75" customHeight="1">
      <c r="E798" s="86"/>
    </row>
    <row r="799" spans="5:5" ht="15.75" customHeight="1">
      <c r="E799" s="86"/>
    </row>
    <row r="800" spans="5:5" ht="15.75" customHeight="1">
      <c r="E800" s="86"/>
    </row>
    <row r="801" spans="5:5" ht="15.75" customHeight="1">
      <c r="E801" s="86"/>
    </row>
    <row r="802" spans="5:5" ht="15.75" customHeight="1">
      <c r="E802" s="86"/>
    </row>
    <row r="803" spans="5:5" ht="15.75" customHeight="1">
      <c r="E803" s="86"/>
    </row>
    <row r="804" spans="5:5" ht="15.75" customHeight="1">
      <c r="E804" s="86"/>
    </row>
    <row r="805" spans="5:5" ht="15.75" customHeight="1">
      <c r="E805" s="86"/>
    </row>
    <row r="806" spans="5:5" ht="15.75" customHeight="1">
      <c r="E806" s="86"/>
    </row>
    <row r="807" spans="5:5" ht="15.75" customHeight="1">
      <c r="E807" s="86"/>
    </row>
    <row r="808" spans="5:5" ht="15.75" customHeight="1">
      <c r="E808" s="86"/>
    </row>
    <row r="809" spans="5:5" ht="15.75" customHeight="1">
      <c r="E809" s="86"/>
    </row>
    <row r="810" spans="5:5" ht="15.75" customHeight="1">
      <c r="E810" s="86"/>
    </row>
    <row r="811" spans="5:5" ht="15.75" customHeight="1">
      <c r="E811" s="86"/>
    </row>
    <row r="812" spans="5:5" ht="15.75" customHeight="1">
      <c r="E812" s="86"/>
    </row>
    <row r="813" spans="5:5" ht="15.75" customHeight="1">
      <c r="E813" s="86"/>
    </row>
    <row r="814" spans="5:5" ht="15.75" customHeight="1">
      <c r="E814" s="86"/>
    </row>
    <row r="815" spans="5:5" ht="15.75" customHeight="1">
      <c r="E815" s="86"/>
    </row>
    <row r="816" spans="5:5" ht="15.75" customHeight="1">
      <c r="E816" s="86"/>
    </row>
    <row r="817" spans="5:5" ht="15.75" customHeight="1">
      <c r="E817" s="86"/>
    </row>
    <row r="818" spans="5:5" ht="15.75" customHeight="1">
      <c r="E818" s="86"/>
    </row>
    <row r="819" spans="5:5" ht="15.75" customHeight="1">
      <c r="E819" s="86"/>
    </row>
    <row r="820" spans="5:5" ht="15.75" customHeight="1">
      <c r="E820" s="86"/>
    </row>
    <row r="821" spans="5:5" ht="15.75" customHeight="1">
      <c r="E821" s="86"/>
    </row>
    <row r="822" spans="5:5" ht="15.75" customHeight="1">
      <c r="E822" s="86"/>
    </row>
    <row r="823" spans="5:5" ht="15.75" customHeight="1">
      <c r="E823" s="86"/>
    </row>
    <row r="824" spans="5:5" ht="15.75" customHeight="1">
      <c r="E824" s="86"/>
    </row>
    <row r="825" spans="5:5" ht="15.75" customHeight="1">
      <c r="E825" s="86"/>
    </row>
    <row r="826" spans="5:5" ht="15.75" customHeight="1">
      <c r="E826" s="86"/>
    </row>
    <row r="827" spans="5:5" ht="15.75" customHeight="1">
      <c r="E827" s="86"/>
    </row>
    <row r="828" spans="5:5" ht="15.75" customHeight="1">
      <c r="E828" s="86"/>
    </row>
    <row r="829" spans="5:5" ht="15.75" customHeight="1">
      <c r="E829" s="86"/>
    </row>
    <row r="830" spans="5:5" ht="15.75" customHeight="1">
      <c r="E830" s="86"/>
    </row>
    <row r="831" spans="5:5" ht="15.75" customHeight="1">
      <c r="E831" s="86"/>
    </row>
    <row r="832" spans="5:5" ht="15.75" customHeight="1">
      <c r="E832" s="86"/>
    </row>
    <row r="833" spans="5:5" ht="15.75" customHeight="1">
      <c r="E833" s="86"/>
    </row>
    <row r="834" spans="5:5" ht="15.75" customHeight="1">
      <c r="E834" s="86"/>
    </row>
    <row r="835" spans="5:5" ht="15.75" customHeight="1">
      <c r="E835" s="86"/>
    </row>
    <row r="836" spans="5:5" ht="15.75" customHeight="1">
      <c r="E836" s="86"/>
    </row>
    <row r="837" spans="5:5" ht="15.75" customHeight="1">
      <c r="E837" s="86"/>
    </row>
    <row r="838" spans="5:5" ht="15.75" customHeight="1">
      <c r="E838" s="86"/>
    </row>
    <row r="839" spans="5:5" ht="15.75" customHeight="1">
      <c r="E839" s="86"/>
    </row>
    <row r="840" spans="5:5" ht="15.75" customHeight="1">
      <c r="E840" s="86"/>
    </row>
    <row r="841" spans="5:5" ht="15.75" customHeight="1">
      <c r="E841" s="86"/>
    </row>
    <row r="842" spans="5:5" ht="15.75" customHeight="1">
      <c r="E842" s="86"/>
    </row>
    <row r="843" spans="5:5" ht="15.75" customHeight="1">
      <c r="E843" s="86"/>
    </row>
    <row r="844" spans="5:5" ht="15.75" customHeight="1">
      <c r="E844" s="86"/>
    </row>
    <row r="845" spans="5:5" ht="15.75" customHeight="1">
      <c r="E845" s="86"/>
    </row>
    <row r="846" spans="5:5" ht="15.75" customHeight="1">
      <c r="E846" s="86"/>
    </row>
    <row r="847" spans="5:5" ht="15.75" customHeight="1">
      <c r="E847" s="86"/>
    </row>
    <row r="848" spans="5:5" ht="15.75" customHeight="1">
      <c r="E848" s="86"/>
    </row>
    <row r="849" spans="5:5" ht="15.75" customHeight="1">
      <c r="E849" s="86"/>
    </row>
    <row r="850" spans="5:5" ht="15.75" customHeight="1">
      <c r="E850" s="86"/>
    </row>
    <row r="851" spans="5:5" ht="15.75" customHeight="1">
      <c r="E851" s="86"/>
    </row>
    <row r="852" spans="5:5" ht="15.75" customHeight="1">
      <c r="E852" s="86"/>
    </row>
    <row r="853" spans="5:5" ht="15.75" customHeight="1">
      <c r="E853" s="86"/>
    </row>
    <row r="854" spans="5:5" ht="15.75" customHeight="1">
      <c r="E854" s="86"/>
    </row>
    <row r="855" spans="5:5" ht="15.75" customHeight="1">
      <c r="E855" s="86"/>
    </row>
    <row r="856" spans="5:5" ht="15.75" customHeight="1">
      <c r="E856" s="86"/>
    </row>
    <row r="857" spans="5:5" ht="15.75" customHeight="1">
      <c r="E857" s="86"/>
    </row>
    <row r="858" spans="5:5" ht="15.75" customHeight="1">
      <c r="E858" s="86"/>
    </row>
    <row r="859" spans="5:5" ht="15.75" customHeight="1">
      <c r="E859" s="86"/>
    </row>
    <row r="860" spans="5:5" ht="15.75" customHeight="1">
      <c r="E860" s="86"/>
    </row>
    <row r="861" spans="5:5" ht="15.75" customHeight="1">
      <c r="E861" s="86"/>
    </row>
    <row r="862" spans="5:5" ht="15.75" customHeight="1">
      <c r="E862" s="86"/>
    </row>
    <row r="863" spans="5:5" ht="15.75" customHeight="1">
      <c r="E863" s="86"/>
    </row>
    <row r="864" spans="5:5" ht="15.75" customHeight="1">
      <c r="E864" s="86"/>
    </row>
    <row r="865" spans="5:5" ht="15.75" customHeight="1">
      <c r="E865" s="86"/>
    </row>
    <row r="866" spans="5:5" ht="15.75" customHeight="1">
      <c r="E866" s="86"/>
    </row>
    <row r="867" spans="5:5" ht="15.75" customHeight="1">
      <c r="E867" s="86"/>
    </row>
    <row r="868" spans="5:5" ht="15.75" customHeight="1">
      <c r="E868" s="86"/>
    </row>
    <row r="869" spans="5:5" ht="15.75" customHeight="1">
      <c r="E869" s="86"/>
    </row>
    <row r="870" spans="5:5" ht="15.75" customHeight="1">
      <c r="E870" s="86"/>
    </row>
    <row r="871" spans="5:5" ht="15.75" customHeight="1">
      <c r="E871" s="86"/>
    </row>
    <row r="872" spans="5:5" ht="15.75" customHeight="1">
      <c r="E872" s="86"/>
    </row>
    <row r="873" spans="5:5" ht="15.75" customHeight="1">
      <c r="E873" s="86"/>
    </row>
    <row r="874" spans="5:5" ht="15.75" customHeight="1">
      <c r="E874" s="86"/>
    </row>
    <row r="875" spans="5:5" ht="15.75" customHeight="1">
      <c r="E875" s="86"/>
    </row>
    <row r="876" spans="5:5" ht="15.75" customHeight="1">
      <c r="E876" s="86"/>
    </row>
    <row r="877" spans="5:5" ht="15.75" customHeight="1">
      <c r="E877" s="86"/>
    </row>
    <row r="878" spans="5:5" ht="15.75" customHeight="1">
      <c r="E878" s="86"/>
    </row>
    <row r="879" spans="5:5" ht="15.75" customHeight="1">
      <c r="E879" s="86"/>
    </row>
    <row r="880" spans="5:5" ht="15.75" customHeight="1">
      <c r="E880" s="86"/>
    </row>
    <row r="881" spans="5:5" ht="15.75" customHeight="1">
      <c r="E881" s="86"/>
    </row>
    <row r="882" spans="5:5" ht="15.75" customHeight="1">
      <c r="E882" s="86"/>
    </row>
    <row r="883" spans="5:5" ht="15.75" customHeight="1">
      <c r="E883" s="86"/>
    </row>
    <row r="884" spans="5:5" ht="15.75" customHeight="1">
      <c r="E884" s="86"/>
    </row>
    <row r="885" spans="5:5" ht="15.75" customHeight="1">
      <c r="E885" s="86"/>
    </row>
    <row r="886" spans="5:5" ht="15.75" customHeight="1">
      <c r="E886" s="86"/>
    </row>
    <row r="887" spans="5:5" ht="15.75" customHeight="1">
      <c r="E887" s="86"/>
    </row>
    <row r="888" spans="5:5" ht="15.75" customHeight="1">
      <c r="E888" s="86"/>
    </row>
    <row r="889" spans="5:5" ht="15.75" customHeight="1">
      <c r="E889" s="86"/>
    </row>
    <row r="890" spans="5:5" ht="15.75" customHeight="1">
      <c r="E890" s="86"/>
    </row>
    <row r="891" spans="5:5" ht="15.75" customHeight="1">
      <c r="E891" s="86"/>
    </row>
    <row r="892" spans="5:5" ht="15.75" customHeight="1">
      <c r="E892" s="86"/>
    </row>
    <row r="893" spans="5:5" ht="15.75" customHeight="1">
      <c r="E893" s="86"/>
    </row>
    <row r="894" spans="5:5" ht="15.75" customHeight="1">
      <c r="E894" s="86"/>
    </row>
    <row r="895" spans="5:5" ht="15.75" customHeight="1">
      <c r="E895" s="86"/>
    </row>
    <row r="896" spans="5:5" ht="15.75" customHeight="1">
      <c r="E896" s="86"/>
    </row>
    <row r="897" spans="5:5" ht="15.75" customHeight="1">
      <c r="E897" s="86"/>
    </row>
    <row r="898" spans="5:5" ht="15.75" customHeight="1">
      <c r="E898" s="86"/>
    </row>
    <row r="899" spans="5:5" ht="15.75" customHeight="1">
      <c r="E899" s="86"/>
    </row>
    <row r="900" spans="5:5" ht="15.75" customHeight="1">
      <c r="E900" s="86"/>
    </row>
    <row r="901" spans="5:5" ht="15.75" customHeight="1">
      <c r="E901" s="86"/>
    </row>
    <row r="902" spans="5:5" ht="15.75" customHeight="1">
      <c r="E902" s="86"/>
    </row>
    <row r="903" spans="5:5" ht="15.75" customHeight="1">
      <c r="E903" s="86"/>
    </row>
    <row r="904" spans="5:5" ht="15.75" customHeight="1">
      <c r="E904" s="86"/>
    </row>
    <row r="905" spans="5:5" ht="15.75" customHeight="1">
      <c r="E905" s="86"/>
    </row>
    <row r="906" spans="5:5" ht="15.75" customHeight="1">
      <c r="E906" s="86"/>
    </row>
    <row r="907" spans="5:5" ht="15.75" customHeight="1">
      <c r="E907" s="86"/>
    </row>
    <row r="908" spans="5:5" ht="15.75" customHeight="1">
      <c r="E908" s="86"/>
    </row>
    <row r="909" spans="5:5" ht="15.75" customHeight="1">
      <c r="E909" s="86"/>
    </row>
    <row r="910" spans="5:5" ht="15.75" customHeight="1">
      <c r="E910" s="86"/>
    </row>
    <row r="911" spans="5:5" ht="15.75" customHeight="1">
      <c r="E911" s="86"/>
    </row>
    <row r="912" spans="5:5" ht="15.75" customHeight="1">
      <c r="E912" s="86"/>
    </row>
    <row r="913" spans="5:5" ht="15.75" customHeight="1">
      <c r="E913" s="86"/>
    </row>
    <row r="914" spans="5:5" ht="15.75" customHeight="1">
      <c r="E914" s="86"/>
    </row>
    <row r="915" spans="5:5" ht="15.75" customHeight="1">
      <c r="E915" s="86"/>
    </row>
    <row r="916" spans="5:5" ht="15.75" customHeight="1">
      <c r="E916" s="86"/>
    </row>
    <row r="917" spans="5:5" ht="15.75" customHeight="1">
      <c r="E917" s="86"/>
    </row>
    <row r="918" spans="5:5" ht="15.75" customHeight="1">
      <c r="E918" s="86"/>
    </row>
    <row r="919" spans="5:5" ht="15.75" customHeight="1">
      <c r="E919" s="86"/>
    </row>
    <row r="920" spans="5:5" ht="15.75" customHeight="1">
      <c r="E920" s="86"/>
    </row>
    <row r="921" spans="5:5" ht="15.75" customHeight="1">
      <c r="E921" s="86"/>
    </row>
    <row r="922" spans="5:5" ht="15.75" customHeight="1">
      <c r="E922" s="86"/>
    </row>
    <row r="923" spans="5:5" ht="15.75" customHeight="1">
      <c r="E923" s="86"/>
    </row>
    <row r="924" spans="5:5" ht="15.75" customHeight="1">
      <c r="E924" s="86"/>
    </row>
    <row r="925" spans="5:5" ht="15.75" customHeight="1">
      <c r="E925" s="86"/>
    </row>
    <row r="926" spans="5:5" ht="15.75" customHeight="1">
      <c r="E926" s="86"/>
    </row>
    <row r="927" spans="5:5" ht="15.75" customHeight="1">
      <c r="E927" s="86"/>
    </row>
    <row r="928" spans="5:5" ht="15.75" customHeight="1">
      <c r="E928" s="86"/>
    </row>
    <row r="929" spans="5:5" ht="15.75" customHeight="1">
      <c r="E929" s="86"/>
    </row>
    <row r="930" spans="5:5" ht="15.75" customHeight="1">
      <c r="E930" s="86"/>
    </row>
    <row r="931" spans="5:5" ht="15.75" customHeight="1">
      <c r="E931" s="86"/>
    </row>
    <row r="932" spans="5:5" ht="15.75" customHeight="1">
      <c r="E932" s="86"/>
    </row>
    <row r="933" spans="5:5" ht="15.75" customHeight="1">
      <c r="E933" s="86"/>
    </row>
    <row r="934" spans="5:5" ht="15.75" customHeight="1">
      <c r="E934" s="86"/>
    </row>
    <row r="935" spans="5:5" ht="15.75" customHeight="1">
      <c r="E935" s="86"/>
    </row>
    <row r="936" spans="5:5" ht="15.75" customHeight="1">
      <c r="E936" s="86"/>
    </row>
    <row r="937" spans="5:5" ht="15.75" customHeight="1">
      <c r="E937" s="86"/>
    </row>
    <row r="938" spans="5:5" ht="15.75" customHeight="1">
      <c r="E938" s="86"/>
    </row>
    <row r="939" spans="5:5" ht="15.75" customHeight="1">
      <c r="E939" s="86"/>
    </row>
    <row r="940" spans="5:5" ht="15.75" customHeight="1">
      <c r="E940" s="86"/>
    </row>
    <row r="941" spans="5:5" ht="15.75" customHeight="1">
      <c r="E941" s="86"/>
    </row>
    <row r="942" spans="5:5" ht="15.75" customHeight="1">
      <c r="E942" s="86"/>
    </row>
    <row r="943" spans="5:5" ht="15.75" customHeight="1">
      <c r="E943" s="86"/>
    </row>
    <row r="944" spans="5:5" ht="15.75" customHeight="1">
      <c r="E944" s="86"/>
    </row>
    <row r="945" spans="5:5" ht="15.75" customHeight="1">
      <c r="E945" s="86"/>
    </row>
    <row r="946" spans="5:5" ht="15.75" customHeight="1">
      <c r="E946" s="86"/>
    </row>
    <row r="947" spans="5:5" ht="15.75" customHeight="1">
      <c r="E947" s="86"/>
    </row>
    <row r="948" spans="5:5" ht="15.75" customHeight="1">
      <c r="E948" s="86"/>
    </row>
    <row r="949" spans="5:5" ht="15.75" customHeight="1">
      <c r="E949" s="86"/>
    </row>
    <row r="950" spans="5:5" ht="15.75" customHeight="1">
      <c r="E950" s="86"/>
    </row>
    <row r="951" spans="5:5" ht="15.75" customHeight="1">
      <c r="E951" s="86"/>
    </row>
    <row r="952" spans="5:5" ht="15.75" customHeight="1">
      <c r="E952" s="86"/>
    </row>
    <row r="953" spans="5:5" ht="15.75" customHeight="1">
      <c r="E953" s="86"/>
    </row>
    <row r="954" spans="5:5" ht="15.75" customHeight="1">
      <c r="E954" s="86"/>
    </row>
    <row r="955" spans="5:5" ht="15.75" customHeight="1">
      <c r="E955" s="86"/>
    </row>
    <row r="956" spans="5:5" ht="15.75" customHeight="1">
      <c r="E956" s="86"/>
    </row>
    <row r="957" spans="5:5" ht="15.75" customHeight="1">
      <c r="E957" s="86"/>
    </row>
    <row r="958" spans="5:5" ht="15.75" customHeight="1">
      <c r="E958" s="86"/>
    </row>
    <row r="959" spans="5:5" ht="15.75" customHeight="1">
      <c r="E959" s="86"/>
    </row>
    <row r="960" spans="5:5" ht="15.75" customHeight="1">
      <c r="E960" s="86"/>
    </row>
    <row r="961" spans="5:5" ht="15.75" customHeight="1">
      <c r="E961" s="86"/>
    </row>
    <row r="962" spans="5:5" ht="15.75" customHeight="1">
      <c r="E962" s="86"/>
    </row>
    <row r="963" spans="5:5" ht="15.75" customHeight="1">
      <c r="E963" s="86"/>
    </row>
    <row r="964" spans="5:5" ht="15.75" customHeight="1">
      <c r="E964" s="86"/>
    </row>
    <row r="965" spans="5:5" ht="15.75" customHeight="1">
      <c r="E965" s="86"/>
    </row>
    <row r="966" spans="5:5" ht="15.75" customHeight="1">
      <c r="E966" s="86"/>
    </row>
    <row r="967" spans="5:5" ht="15.75" customHeight="1">
      <c r="E967" s="86"/>
    </row>
    <row r="968" spans="5:5" ht="15.75" customHeight="1">
      <c r="E968" s="86"/>
    </row>
    <row r="969" spans="5:5" ht="15.75" customHeight="1">
      <c r="E969" s="86"/>
    </row>
    <row r="970" spans="5:5" ht="15.75" customHeight="1">
      <c r="E970" s="86"/>
    </row>
    <row r="971" spans="5:5" ht="15.75" customHeight="1">
      <c r="E971" s="86"/>
    </row>
    <row r="972" spans="5:5" ht="15.75" customHeight="1">
      <c r="E972" s="86"/>
    </row>
    <row r="973" spans="5:5" ht="15.75" customHeight="1">
      <c r="E973" s="86"/>
    </row>
    <row r="974" spans="5:5" ht="15.75" customHeight="1">
      <c r="E974" s="86"/>
    </row>
    <row r="975" spans="5:5" ht="15.75" customHeight="1">
      <c r="E975" s="86"/>
    </row>
    <row r="976" spans="5:5" ht="15.75" customHeight="1">
      <c r="E976" s="86"/>
    </row>
    <row r="977" spans="5:5" ht="15.75" customHeight="1">
      <c r="E977" s="86"/>
    </row>
    <row r="978" spans="5:5" ht="15.75" customHeight="1">
      <c r="E978" s="86"/>
    </row>
    <row r="979" spans="5:5" ht="15.75" customHeight="1">
      <c r="E979" s="86"/>
    </row>
    <row r="980" spans="5:5" ht="15.75" customHeight="1">
      <c r="E980" s="86"/>
    </row>
    <row r="981" spans="5:5" ht="15.75" customHeight="1">
      <c r="E981" s="86"/>
    </row>
    <row r="982" spans="5:5" ht="15.75" customHeight="1">
      <c r="E982" s="86"/>
    </row>
    <row r="983" spans="5:5" ht="15.75" customHeight="1">
      <c r="E983" s="86"/>
    </row>
    <row r="984" spans="5:5" ht="15.75" customHeight="1">
      <c r="E984" s="86"/>
    </row>
    <row r="985" spans="5:5" ht="15.75" customHeight="1">
      <c r="E985" s="86"/>
    </row>
    <row r="986" spans="5:5" ht="15.75" customHeight="1">
      <c r="E986" s="86"/>
    </row>
    <row r="987" spans="5:5" ht="15.75" customHeight="1">
      <c r="E987" s="86"/>
    </row>
    <row r="988" spans="5:5" ht="15.75" customHeight="1">
      <c r="E988" s="86"/>
    </row>
    <row r="989" spans="5:5" ht="15.75" customHeight="1">
      <c r="E989" s="86"/>
    </row>
    <row r="990" spans="5:5" ht="15.75" customHeight="1">
      <c r="E990" s="86"/>
    </row>
    <row r="991" spans="5:5" ht="15.75" customHeight="1">
      <c r="E991" s="86"/>
    </row>
    <row r="992" spans="5:5" ht="15.75" customHeight="1">
      <c r="E992" s="86"/>
    </row>
    <row r="993" spans="5:5" ht="15.75" customHeight="1">
      <c r="E993" s="86"/>
    </row>
    <row r="994" spans="5:5" ht="15.75" customHeight="1">
      <c r="E994" s="86"/>
    </row>
    <row r="995" spans="5:5" ht="15.75" customHeight="1">
      <c r="E995" s="86"/>
    </row>
    <row r="996" spans="5:5" ht="15.75" customHeight="1">
      <c r="E996" s="86"/>
    </row>
    <row r="997" spans="5:5" ht="15.75" customHeight="1">
      <c r="E997" s="86"/>
    </row>
    <row r="998" spans="5:5" ht="15.75" customHeight="1">
      <c r="E998" s="86"/>
    </row>
    <row r="999" spans="5:5" ht="15.75" customHeight="1">
      <c r="E999" s="86"/>
    </row>
    <row r="1000" spans="5:5" ht="15.75" customHeight="1">
      <c r="E1000" s="86"/>
    </row>
    <row r="1001" spans="5:5" ht="15.75" customHeight="1">
      <c r="E1001" s="86"/>
    </row>
  </sheetData>
  <mergeCells count="8">
    <mergeCell ref="F5:F6"/>
    <mergeCell ref="G5:G6"/>
    <mergeCell ref="A53:C53"/>
    <mergeCell ref="A1:C1"/>
    <mergeCell ref="A10:C10"/>
    <mergeCell ref="A18:C18"/>
    <mergeCell ref="A28:C28"/>
    <mergeCell ref="A35:C35"/>
  </mergeCells>
  <hyperlinks>
    <hyperlink ref="F39" r:id="rId1" xr:uid="{747874B9-0B14-4FAA-AC55-8ED117FC59FC}"/>
  </hyperlink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selection activeCell="C34" sqref="C34"/>
    </sheetView>
  </sheetViews>
  <sheetFormatPr defaultColWidth="14.44140625" defaultRowHeight="15" customHeight="1"/>
  <cols>
    <col min="1" max="1" width="57.6640625" customWidth="1"/>
    <col min="2" max="2" width="21.33203125" customWidth="1"/>
    <col min="3" max="3" width="18.33203125" customWidth="1"/>
    <col min="4" max="4" width="17.88671875" customWidth="1"/>
    <col min="5" max="5" width="26" customWidth="1"/>
    <col min="6" max="6" width="21.109375" customWidth="1"/>
    <col min="7" max="7" width="20.33203125" customWidth="1"/>
    <col min="8" max="8" width="23" customWidth="1"/>
    <col min="9" max="9" width="2.44140625" customWidth="1"/>
    <col min="10" max="26" width="8.6640625" customWidth="1"/>
  </cols>
  <sheetData>
    <row r="1" spans="1:9" ht="21">
      <c r="A1" s="148" t="s">
        <v>44</v>
      </c>
      <c r="B1" s="146"/>
      <c r="C1" s="146"/>
      <c r="D1" s="146"/>
      <c r="E1" s="146"/>
      <c r="F1" s="146"/>
      <c r="G1" s="146"/>
      <c r="H1" s="147"/>
      <c r="I1" s="56"/>
    </row>
    <row r="2" spans="1:9" ht="16.5" customHeight="1">
      <c r="A2" s="57" t="s">
        <v>45</v>
      </c>
      <c r="B2" s="76" t="s">
        <v>46</v>
      </c>
      <c r="C2" s="76" t="s">
        <v>47</v>
      </c>
      <c r="D2" s="57" t="s">
        <v>48</v>
      </c>
      <c r="E2" s="72" t="s">
        <v>49</v>
      </c>
      <c r="F2" s="72" t="s">
        <v>50</v>
      </c>
      <c r="G2" s="72" t="s">
        <v>51</v>
      </c>
      <c r="H2" s="72" t="s">
        <v>5</v>
      </c>
      <c r="I2" s="56"/>
    </row>
    <row r="3" spans="1:9" ht="16.5" customHeight="1">
      <c r="A3" s="73"/>
      <c r="B3" s="73"/>
      <c r="C3" s="87"/>
      <c r="D3" s="61">
        <f t="shared" ref="D3:D4" si="0">B3*C3</f>
        <v>0</v>
      </c>
      <c r="E3" s="88"/>
      <c r="F3" s="61">
        <f t="shared" ref="F3:F4" si="1">D3*E3</f>
        <v>0</v>
      </c>
      <c r="G3" s="61"/>
      <c r="H3" s="61">
        <f t="shared" ref="H3:H4" si="2">(D3+F3)+(G3*B3)</f>
        <v>0</v>
      </c>
      <c r="I3" s="56"/>
    </row>
    <row r="4" spans="1:9" ht="16.5" customHeight="1">
      <c r="A4" s="73"/>
      <c r="B4" s="73"/>
      <c r="C4" s="87"/>
      <c r="D4" s="61">
        <f t="shared" si="0"/>
        <v>0</v>
      </c>
      <c r="E4" s="88"/>
      <c r="F4" s="61">
        <f t="shared" si="1"/>
        <v>0</v>
      </c>
      <c r="G4" s="61"/>
      <c r="H4" s="61">
        <f t="shared" si="2"/>
        <v>0</v>
      </c>
      <c r="I4" s="56"/>
    </row>
    <row r="5" spans="1:9" ht="16.5" customHeight="1">
      <c r="A5" s="148" t="s">
        <v>52</v>
      </c>
      <c r="B5" s="146"/>
      <c r="C5" s="146"/>
      <c r="D5" s="146"/>
      <c r="E5" s="146"/>
      <c r="F5" s="146"/>
      <c r="G5" s="154"/>
      <c r="H5" s="45">
        <f>SUM(H3:H4)</f>
        <v>0</v>
      </c>
      <c r="I5" s="56"/>
    </row>
    <row r="6" spans="1:9" ht="16.5" customHeight="1">
      <c r="A6" s="83"/>
      <c r="B6" s="83"/>
      <c r="C6" s="89"/>
      <c r="D6" s="90"/>
      <c r="E6" s="91"/>
      <c r="F6" s="90"/>
      <c r="G6" s="90"/>
      <c r="H6" s="90"/>
      <c r="I6" s="56"/>
    </row>
    <row r="7" spans="1:9" ht="21">
      <c r="A7" s="148" t="s">
        <v>53</v>
      </c>
      <c r="B7" s="146"/>
      <c r="C7" s="146"/>
      <c r="D7" s="146"/>
      <c r="E7" s="146"/>
      <c r="F7" s="146"/>
      <c r="G7" s="146"/>
      <c r="H7" s="147"/>
      <c r="I7" s="56"/>
    </row>
    <row r="8" spans="1:9" ht="14.4">
      <c r="A8" s="92" t="s">
        <v>54</v>
      </c>
      <c r="B8" s="93" t="s">
        <v>55</v>
      </c>
      <c r="C8" s="94" t="s">
        <v>56</v>
      </c>
      <c r="D8" s="94" t="s">
        <v>57</v>
      </c>
      <c r="E8" s="94" t="s">
        <v>58</v>
      </c>
      <c r="F8" s="93" t="s">
        <v>59</v>
      </c>
      <c r="G8" s="95" t="s">
        <v>60</v>
      </c>
      <c r="I8" s="56"/>
    </row>
    <row r="9" spans="1:9" ht="14.4">
      <c r="A9" s="7" t="str">
        <f>'Investimentos Fixos'!B5</f>
        <v>Mesa digitalizadora</v>
      </c>
      <c r="B9" s="7">
        <f>'Investimentos Fixos'!C5</f>
        <v>1</v>
      </c>
      <c r="C9" s="77">
        <f>'Investimentos Fixos'!D5</f>
        <v>1499.44</v>
      </c>
      <c r="D9" s="96">
        <f t="shared" ref="D9:D11" si="3">B9*C9</f>
        <v>1499.44</v>
      </c>
      <c r="E9" s="97"/>
      <c r="F9" s="96"/>
      <c r="G9" s="82">
        <f t="shared" ref="G9" si="4">F9/12</f>
        <v>0</v>
      </c>
      <c r="I9" s="56"/>
    </row>
    <row r="10" spans="1:9" ht="14.4">
      <c r="A10" s="7">
        <f>'Investimentos Fixos'!B6</f>
        <v>0</v>
      </c>
      <c r="B10" s="7">
        <f>'Investimentos Fixos'!C6</f>
        <v>0</v>
      </c>
      <c r="C10" s="77">
        <f>'Investimentos Fixos'!D6</f>
        <v>0</v>
      </c>
      <c r="D10" s="96">
        <f t="shared" si="3"/>
        <v>0</v>
      </c>
      <c r="E10" s="97"/>
      <c r="F10" s="96"/>
      <c r="G10" s="82"/>
      <c r="I10" s="56"/>
    </row>
    <row r="11" spans="1:9" ht="14.4">
      <c r="A11" s="7" t="str">
        <f>'Investimentos Fixos'!B7</f>
        <v>Devkits Nintendo Switch</v>
      </c>
      <c r="B11" s="7">
        <f>'Investimentos Fixos'!C7</f>
        <v>1</v>
      </c>
      <c r="C11" s="77">
        <f>'Investimentos Fixos'!D7</f>
        <v>2477.79</v>
      </c>
      <c r="D11" s="96">
        <f t="shared" si="3"/>
        <v>2477.79</v>
      </c>
      <c r="E11" s="97"/>
      <c r="F11" s="96"/>
      <c r="G11" s="82"/>
      <c r="I11" s="56"/>
    </row>
    <row r="12" spans="1:9" ht="14.4">
      <c r="A12" s="7" t="str">
        <f>'Investimentos Fixos'!B8</f>
        <v>Servidor Rack PowerEdge R260</v>
      </c>
      <c r="B12" s="7">
        <f>'Investimentos Fixos'!C8</f>
        <v>1</v>
      </c>
      <c r="C12" s="77">
        <f>'Investimentos Fixos'!D8</f>
        <v>6000</v>
      </c>
      <c r="D12" s="96">
        <f t="shared" ref="D12:D13" si="5">B12*C12</f>
        <v>6000</v>
      </c>
      <c r="E12" s="97"/>
      <c r="F12" s="96"/>
      <c r="G12" s="82">
        <f t="shared" ref="G12" si="6">F12/12</f>
        <v>0</v>
      </c>
      <c r="I12" s="56"/>
    </row>
    <row r="13" spans="1:9" ht="14.4">
      <c r="A13" s="7" t="str">
        <f>'Investimentos Fixos'!B9</f>
        <v>Softwares com licença perpétua</v>
      </c>
      <c r="B13" s="7">
        <f>'Investimentos Fixos'!C9</f>
        <v>1</v>
      </c>
      <c r="C13" s="77">
        <f>'Investimentos Fixos'!D9</f>
        <v>5000</v>
      </c>
      <c r="D13" s="96">
        <f t="shared" si="5"/>
        <v>5000</v>
      </c>
      <c r="E13" s="97"/>
      <c r="F13" s="96"/>
      <c r="G13" s="82"/>
      <c r="I13" s="56"/>
    </row>
    <row r="14" spans="1:9" ht="14.4">
      <c r="A14" s="7"/>
      <c r="B14" s="7"/>
      <c r="C14" s="13"/>
      <c r="D14" s="96"/>
      <c r="E14" s="97"/>
      <c r="F14" s="96"/>
      <c r="G14" s="82"/>
      <c r="I14" s="56"/>
    </row>
    <row r="15" spans="1:9" ht="14.4">
      <c r="A15" s="7"/>
      <c r="B15" s="7"/>
      <c r="C15" s="13"/>
      <c r="D15" s="96"/>
      <c r="E15" s="97"/>
      <c r="F15" s="96"/>
      <c r="G15" s="82"/>
      <c r="I15" s="56"/>
    </row>
    <row r="16" spans="1:9" ht="14.4">
      <c r="A16" s="7"/>
      <c r="B16" s="7"/>
      <c r="C16" s="13"/>
      <c r="D16" s="96"/>
      <c r="E16" s="97"/>
      <c r="F16" s="96"/>
      <c r="G16" s="82"/>
      <c r="I16" s="56"/>
    </row>
    <row r="17" spans="1:9" ht="14.4">
      <c r="A17" s="7"/>
      <c r="B17" s="7"/>
      <c r="C17" s="13"/>
      <c r="D17" s="96"/>
      <c r="E17" s="97"/>
      <c r="F17" s="96"/>
      <c r="G17" s="82"/>
      <c r="I17" s="56"/>
    </row>
    <row r="18" spans="1:9" ht="14.4">
      <c r="A18" s="7"/>
      <c r="B18" s="7"/>
      <c r="C18" s="13"/>
      <c r="D18" s="96"/>
      <c r="E18" s="97"/>
      <c r="F18" s="96"/>
      <c r="G18" s="82"/>
      <c r="I18" s="56"/>
    </row>
    <row r="19" spans="1:9" ht="14.4">
      <c r="A19" s="7"/>
      <c r="B19" s="7"/>
      <c r="C19" s="13"/>
      <c r="D19" s="96"/>
      <c r="E19" s="97"/>
      <c r="F19" s="96"/>
      <c r="G19" s="82"/>
      <c r="I19" s="56"/>
    </row>
    <row r="20" spans="1:9" ht="21">
      <c r="A20" s="148" t="s">
        <v>61</v>
      </c>
      <c r="B20" s="146"/>
      <c r="C20" s="146"/>
      <c r="D20" s="146"/>
      <c r="E20" s="146"/>
      <c r="F20" s="154"/>
      <c r="G20" s="98">
        <f>SUM(G9:G19)</f>
        <v>0</v>
      </c>
      <c r="I20" s="56"/>
    </row>
    <row r="21" spans="1:9" ht="15.75" customHeight="1">
      <c r="I21" s="56"/>
    </row>
    <row r="22" spans="1:9" ht="15.75" customHeight="1">
      <c r="I22" s="56"/>
    </row>
    <row r="23" spans="1:9" ht="15.75" customHeight="1">
      <c r="A23" s="148" t="s">
        <v>62</v>
      </c>
      <c r="B23" s="154"/>
      <c r="D23" s="161" t="s">
        <v>63</v>
      </c>
      <c r="E23" s="157"/>
      <c r="I23" s="56"/>
    </row>
    <row r="24" spans="1:9" ht="15.75" customHeight="1">
      <c r="A24" s="72" t="s">
        <v>2</v>
      </c>
      <c r="B24" s="72" t="s">
        <v>64</v>
      </c>
      <c r="D24" s="99" t="s">
        <v>65</v>
      </c>
      <c r="E24" s="100">
        <f>FaturamentoXCustos!$D$35</f>
        <v>59118.400000000001</v>
      </c>
      <c r="I24" s="56"/>
    </row>
    <row r="25" spans="1:9" ht="15.75" customHeight="1">
      <c r="A25" s="7" t="s">
        <v>107</v>
      </c>
      <c r="B25" s="82">
        <f>G20</f>
        <v>0</v>
      </c>
      <c r="D25" s="99" t="s">
        <v>66</v>
      </c>
      <c r="E25" s="101">
        <f>B41</f>
        <v>16.329999999999998</v>
      </c>
      <c r="I25" s="56"/>
    </row>
    <row r="26" spans="1:9" ht="15.75" customHeight="1">
      <c r="A26" s="188" t="s">
        <v>137</v>
      </c>
      <c r="B26" s="82">
        <v>16.329999999999998</v>
      </c>
      <c r="I26" s="56"/>
    </row>
    <row r="27" spans="1:9" ht="15.75" customHeight="1">
      <c r="A27" s="7"/>
      <c r="B27" s="8"/>
      <c r="I27" s="56"/>
    </row>
    <row r="28" spans="1:9" ht="15.75" customHeight="1">
      <c r="A28" s="7"/>
      <c r="B28" s="82"/>
      <c r="I28" s="56"/>
    </row>
    <row r="29" spans="1:9" ht="15.75" customHeight="1">
      <c r="A29" s="7"/>
      <c r="B29" s="82"/>
      <c r="I29" s="56"/>
    </row>
    <row r="30" spans="1:9" ht="15.75" customHeight="1">
      <c r="A30" s="7"/>
      <c r="B30" s="82"/>
      <c r="I30" s="56"/>
    </row>
    <row r="31" spans="1:9" ht="15.75" customHeight="1">
      <c r="A31" s="7"/>
      <c r="B31" s="82"/>
      <c r="I31" s="56"/>
    </row>
    <row r="32" spans="1:9" ht="15.75" customHeight="1">
      <c r="A32" s="29"/>
      <c r="B32" s="8"/>
      <c r="I32" s="56"/>
    </row>
    <row r="33" spans="1:9" ht="15.75" customHeight="1">
      <c r="A33" s="7"/>
      <c r="B33" s="82"/>
      <c r="I33" s="56"/>
    </row>
    <row r="34" spans="1:9" ht="15.75" customHeight="1">
      <c r="A34" s="7"/>
      <c r="B34" s="82"/>
      <c r="I34" s="56"/>
    </row>
    <row r="35" spans="1:9" ht="15.75" customHeight="1">
      <c r="A35" s="7"/>
      <c r="B35" s="82"/>
      <c r="I35" s="56"/>
    </row>
    <row r="36" spans="1:9" ht="15.75" customHeight="1">
      <c r="A36" s="7"/>
      <c r="B36" s="82"/>
      <c r="I36" s="56"/>
    </row>
    <row r="37" spans="1:9" ht="15.75" customHeight="1">
      <c r="A37" s="7"/>
      <c r="B37" s="82"/>
      <c r="I37" s="56"/>
    </row>
    <row r="38" spans="1:9" ht="15.75" customHeight="1">
      <c r="A38" s="7"/>
      <c r="B38" s="82"/>
      <c r="I38" s="56"/>
    </row>
    <row r="39" spans="1:9" ht="15.75" customHeight="1">
      <c r="A39" s="7"/>
      <c r="B39" s="82"/>
      <c r="I39" s="56"/>
    </row>
    <row r="40" spans="1:9" ht="15.75" customHeight="1">
      <c r="A40" s="29"/>
      <c r="B40" s="82"/>
      <c r="I40" s="56"/>
    </row>
    <row r="41" spans="1:9" ht="15.75" customHeight="1">
      <c r="A41" s="102" t="s">
        <v>5</v>
      </c>
      <c r="B41" s="45">
        <f>SUM(B25:B40)</f>
        <v>16.329999999999998</v>
      </c>
      <c r="I41" s="56"/>
    </row>
    <row r="42" spans="1:9" ht="15.75" customHeight="1">
      <c r="I42" s="56"/>
    </row>
    <row r="43" spans="1:9" ht="15.75" customHeight="1">
      <c r="I43" s="56"/>
    </row>
    <row r="44" spans="1:9" ht="15.75" customHeight="1">
      <c r="A44" s="177" t="s">
        <v>136</v>
      </c>
      <c r="I44" s="56"/>
    </row>
    <row r="45" spans="1:9" ht="15.75" customHeight="1">
      <c r="I45" s="56"/>
    </row>
    <row r="46" spans="1:9" ht="15.75" customHeight="1">
      <c r="I46" s="56"/>
    </row>
    <row r="47" spans="1:9" ht="15.75" customHeight="1">
      <c r="I47" s="56"/>
    </row>
    <row r="48" spans="1:9" ht="15.75" customHeight="1">
      <c r="I48" s="56"/>
    </row>
    <row r="49" spans="1:9" ht="15.75" customHeight="1">
      <c r="I49" s="56"/>
    </row>
    <row r="50" spans="1:9" ht="15.75" customHeight="1">
      <c r="I50" s="56"/>
    </row>
    <row r="51" spans="1:9" ht="15.75" customHeight="1">
      <c r="I51" s="56"/>
    </row>
    <row r="52" spans="1:9" ht="15.75" customHeight="1">
      <c r="A52" s="177" t="s">
        <v>125</v>
      </c>
      <c r="B52" s="182" t="s">
        <v>138</v>
      </c>
      <c r="I52" s="56"/>
    </row>
    <row r="53" spans="1:9" ht="15.75" customHeight="1">
      <c r="B53" t="s">
        <v>139</v>
      </c>
      <c r="I53" s="56"/>
    </row>
    <row r="54" spans="1:9" ht="15.75" customHeight="1">
      <c r="I54" s="56"/>
    </row>
    <row r="55" spans="1:9" ht="15.75" customHeight="1">
      <c r="I55" s="56"/>
    </row>
    <row r="56" spans="1:9" ht="15.75" customHeight="1">
      <c r="I56" s="56"/>
    </row>
    <row r="57" spans="1:9" ht="15.75" customHeight="1">
      <c r="I57" s="56"/>
    </row>
    <row r="58" spans="1:9" ht="15.75" customHeight="1">
      <c r="I58" s="56"/>
    </row>
    <row r="59" spans="1:9" ht="15.75" customHeight="1">
      <c r="I59" s="56"/>
    </row>
    <row r="60" spans="1:9" ht="15.75" customHeight="1">
      <c r="I60" s="56"/>
    </row>
    <row r="61" spans="1:9" ht="15.75" customHeight="1">
      <c r="I61" s="56"/>
    </row>
    <row r="62" spans="1:9" ht="15.75" customHeight="1">
      <c r="I62" s="56"/>
    </row>
    <row r="63" spans="1:9" ht="15.75" customHeight="1">
      <c r="I63" s="56"/>
    </row>
    <row r="64" spans="1:9" ht="15.75" customHeight="1">
      <c r="I64" s="56"/>
    </row>
    <row r="65" spans="9:9" ht="15.75" customHeight="1">
      <c r="I65" s="56"/>
    </row>
    <row r="66" spans="9:9" ht="15.75" customHeight="1">
      <c r="I66" s="56"/>
    </row>
    <row r="67" spans="9:9" ht="15.75" customHeight="1">
      <c r="I67" s="56"/>
    </row>
    <row r="68" spans="9:9" ht="15.75" customHeight="1">
      <c r="I68" s="56"/>
    </row>
    <row r="69" spans="9:9" ht="15.75" customHeight="1">
      <c r="I69" s="56"/>
    </row>
    <row r="70" spans="9:9" ht="15.75" customHeight="1">
      <c r="I70" s="56"/>
    </row>
    <row r="71" spans="9:9" ht="15.75" customHeight="1">
      <c r="I71" s="56"/>
    </row>
    <row r="72" spans="9:9" ht="15.75" customHeight="1">
      <c r="I72" s="56"/>
    </row>
    <row r="73" spans="9:9" ht="15.75" customHeight="1">
      <c r="I73" s="56"/>
    </row>
    <row r="74" spans="9:9" ht="15.75" customHeight="1">
      <c r="I74" s="56"/>
    </row>
    <row r="75" spans="9:9" ht="15.75" customHeight="1">
      <c r="I75" s="56"/>
    </row>
    <row r="76" spans="9:9" ht="15.75" customHeight="1">
      <c r="I76" s="56"/>
    </row>
    <row r="77" spans="9:9" ht="15.75" customHeight="1">
      <c r="I77" s="56"/>
    </row>
    <row r="78" spans="9:9" ht="15.75" customHeight="1">
      <c r="I78" s="56"/>
    </row>
    <row r="79" spans="9:9" ht="15.75" customHeight="1">
      <c r="I79" s="56"/>
    </row>
    <row r="80" spans="9:9" ht="15.75" customHeight="1">
      <c r="I80" s="56"/>
    </row>
    <row r="81" spans="9:9" ht="15.75" customHeight="1">
      <c r="I81" s="56"/>
    </row>
    <row r="82" spans="9:9" ht="15.75" customHeight="1">
      <c r="I82" s="56"/>
    </row>
    <row r="83" spans="9:9" ht="15.75" customHeight="1">
      <c r="I83" s="56"/>
    </row>
    <row r="84" spans="9:9" ht="15.75" customHeight="1">
      <c r="I84" s="56"/>
    </row>
    <row r="85" spans="9:9" ht="15.75" customHeight="1">
      <c r="I85" s="56"/>
    </row>
    <row r="86" spans="9:9" ht="15.75" customHeight="1">
      <c r="I86" s="56"/>
    </row>
    <row r="87" spans="9:9" ht="15.75" customHeight="1">
      <c r="I87" s="56"/>
    </row>
    <row r="88" spans="9:9" ht="15.75" customHeight="1">
      <c r="I88" s="56"/>
    </row>
    <row r="89" spans="9:9" ht="15.75" customHeight="1">
      <c r="I89" s="56"/>
    </row>
    <row r="90" spans="9:9" ht="15.75" customHeight="1">
      <c r="I90" s="56"/>
    </row>
    <row r="91" spans="9:9" ht="15.75" customHeight="1">
      <c r="I91" s="56"/>
    </row>
    <row r="92" spans="9:9" ht="15.75" customHeight="1">
      <c r="I92" s="56"/>
    </row>
    <row r="93" spans="9:9" ht="15.75" customHeight="1">
      <c r="I93" s="56"/>
    </row>
    <row r="94" spans="9:9" ht="15.75" customHeight="1">
      <c r="I94" s="56"/>
    </row>
    <row r="95" spans="9:9" ht="15.75" customHeight="1">
      <c r="I95" s="56"/>
    </row>
    <row r="96" spans="9:9" ht="15.75" customHeight="1">
      <c r="I96" s="56"/>
    </row>
    <row r="97" spans="9:9" ht="15.75" customHeight="1">
      <c r="I97" s="56"/>
    </row>
    <row r="98" spans="9:9" ht="15.75" customHeight="1">
      <c r="I98" s="56"/>
    </row>
    <row r="99" spans="9:9" ht="15.75" customHeight="1">
      <c r="I99" s="56"/>
    </row>
    <row r="100" spans="9:9" ht="15.75" customHeight="1">
      <c r="I100" s="56"/>
    </row>
    <row r="101" spans="9:9" ht="15.75" customHeight="1">
      <c r="I101" s="56"/>
    </row>
    <row r="102" spans="9:9" ht="15.75" customHeight="1">
      <c r="I102" s="56"/>
    </row>
    <row r="103" spans="9:9" ht="15.75" customHeight="1">
      <c r="I103" s="56"/>
    </row>
    <row r="104" spans="9:9" ht="15.75" customHeight="1">
      <c r="I104" s="56"/>
    </row>
    <row r="105" spans="9:9" ht="15.75" customHeight="1">
      <c r="I105" s="56"/>
    </row>
    <row r="106" spans="9:9" ht="15.75" customHeight="1">
      <c r="I106" s="56"/>
    </row>
    <row r="107" spans="9:9" ht="15.75" customHeight="1">
      <c r="I107" s="56"/>
    </row>
    <row r="108" spans="9:9" ht="15.75" customHeight="1">
      <c r="I108" s="56"/>
    </row>
    <row r="109" spans="9:9" ht="15.75" customHeight="1">
      <c r="I109" s="56"/>
    </row>
    <row r="110" spans="9:9" ht="15.75" customHeight="1">
      <c r="I110" s="56"/>
    </row>
    <row r="111" spans="9:9" ht="15.75" customHeight="1">
      <c r="I111" s="56"/>
    </row>
    <row r="112" spans="9:9" ht="15.75" customHeight="1">
      <c r="I112" s="56"/>
    </row>
    <row r="113" spans="9:9" ht="15.75" customHeight="1">
      <c r="I113" s="56"/>
    </row>
    <row r="114" spans="9:9" ht="15.75" customHeight="1">
      <c r="I114" s="56"/>
    </row>
    <row r="115" spans="9:9" ht="15.75" customHeight="1">
      <c r="I115" s="56"/>
    </row>
    <row r="116" spans="9:9" ht="15.75" customHeight="1">
      <c r="I116" s="56"/>
    </row>
    <row r="117" spans="9:9" ht="15.75" customHeight="1">
      <c r="I117" s="56"/>
    </row>
    <row r="118" spans="9:9" ht="15.75" customHeight="1">
      <c r="I118" s="56"/>
    </row>
    <row r="119" spans="9:9" ht="15.75" customHeight="1">
      <c r="I119" s="56"/>
    </row>
    <row r="120" spans="9:9" ht="15.75" customHeight="1">
      <c r="I120" s="56"/>
    </row>
    <row r="121" spans="9:9" ht="15.75" customHeight="1">
      <c r="I121" s="56"/>
    </row>
    <row r="122" spans="9:9" ht="15.75" customHeight="1">
      <c r="I122" s="56"/>
    </row>
    <row r="123" spans="9:9" ht="15.75" customHeight="1">
      <c r="I123" s="56"/>
    </row>
    <row r="124" spans="9:9" ht="15.75" customHeight="1">
      <c r="I124" s="56"/>
    </row>
    <row r="125" spans="9:9" ht="15.75" customHeight="1">
      <c r="I125" s="56"/>
    </row>
    <row r="126" spans="9:9" ht="15.75" customHeight="1">
      <c r="I126" s="56"/>
    </row>
    <row r="127" spans="9:9" ht="15.75" customHeight="1">
      <c r="I127" s="56"/>
    </row>
    <row r="128" spans="9:9" ht="15.75" customHeight="1">
      <c r="I128" s="56"/>
    </row>
    <row r="129" spans="9:9" ht="15.75" customHeight="1">
      <c r="I129" s="56"/>
    </row>
    <row r="130" spans="9:9" ht="15.75" customHeight="1">
      <c r="I130" s="56"/>
    </row>
    <row r="131" spans="9:9" ht="15.75" customHeight="1">
      <c r="I131" s="56"/>
    </row>
    <row r="132" spans="9:9" ht="15.75" customHeight="1">
      <c r="I132" s="56"/>
    </row>
    <row r="133" spans="9:9" ht="15.75" customHeight="1">
      <c r="I133" s="56"/>
    </row>
    <row r="134" spans="9:9" ht="15.75" customHeight="1">
      <c r="I134" s="56"/>
    </row>
    <row r="135" spans="9:9" ht="15.75" customHeight="1">
      <c r="I135" s="56"/>
    </row>
    <row r="136" spans="9:9" ht="15.75" customHeight="1">
      <c r="I136" s="56"/>
    </row>
    <row r="137" spans="9:9" ht="15.75" customHeight="1">
      <c r="I137" s="56"/>
    </row>
    <row r="138" spans="9:9" ht="15.75" customHeight="1">
      <c r="I138" s="56"/>
    </row>
    <row r="139" spans="9:9" ht="15.75" customHeight="1">
      <c r="I139" s="56"/>
    </row>
    <row r="140" spans="9:9" ht="15.75" customHeight="1">
      <c r="I140" s="56"/>
    </row>
    <row r="141" spans="9:9" ht="15.75" customHeight="1">
      <c r="I141" s="56"/>
    </row>
    <row r="142" spans="9:9" ht="15.75" customHeight="1">
      <c r="I142" s="56"/>
    </row>
    <row r="143" spans="9:9" ht="15.75" customHeight="1">
      <c r="I143" s="56"/>
    </row>
    <row r="144" spans="9:9" ht="15.75" customHeight="1">
      <c r="I144" s="56"/>
    </row>
    <row r="145" spans="9:9" ht="15.75" customHeight="1">
      <c r="I145" s="56"/>
    </row>
    <row r="146" spans="9:9" ht="15.75" customHeight="1">
      <c r="I146" s="56"/>
    </row>
    <row r="147" spans="9:9" ht="15.75" customHeight="1">
      <c r="I147" s="56"/>
    </row>
    <row r="148" spans="9:9" ht="15.75" customHeight="1">
      <c r="I148" s="56"/>
    </row>
    <row r="149" spans="9:9" ht="15.75" customHeight="1">
      <c r="I149" s="56"/>
    </row>
    <row r="150" spans="9:9" ht="15.75" customHeight="1">
      <c r="I150" s="103"/>
    </row>
    <row r="151" spans="9:9" ht="15.75" customHeight="1">
      <c r="I151" s="103"/>
    </row>
    <row r="152" spans="9:9" ht="15.75" customHeight="1">
      <c r="I152" s="103"/>
    </row>
    <row r="153" spans="9:9" ht="15.75" customHeight="1">
      <c r="I153" s="103"/>
    </row>
    <row r="154" spans="9:9" ht="15.75" customHeight="1">
      <c r="I154" s="103"/>
    </row>
    <row r="155" spans="9:9" ht="15.75" customHeight="1">
      <c r="I155" s="103"/>
    </row>
    <row r="156" spans="9:9" ht="15.75" customHeight="1">
      <c r="I156" s="103"/>
    </row>
    <row r="157" spans="9:9" ht="15.75" customHeight="1">
      <c r="I157" s="103"/>
    </row>
    <row r="158" spans="9:9" ht="15.75" customHeight="1">
      <c r="I158" s="103"/>
    </row>
    <row r="159" spans="9:9" ht="15.75" customHeight="1">
      <c r="I159" s="103"/>
    </row>
    <row r="160" spans="9:9" ht="15.75" customHeight="1">
      <c r="I160" s="103"/>
    </row>
    <row r="161" spans="9:9" ht="15.75" customHeight="1">
      <c r="I161" s="103"/>
    </row>
    <row r="162" spans="9:9" ht="15.75" customHeight="1">
      <c r="I162" s="103"/>
    </row>
    <row r="163" spans="9:9" ht="15.75" customHeight="1">
      <c r="I163" s="103"/>
    </row>
    <row r="164" spans="9:9" ht="15.75" customHeight="1">
      <c r="I164" s="103"/>
    </row>
    <row r="165" spans="9:9" ht="15.75" customHeight="1">
      <c r="I165" s="103"/>
    </row>
    <row r="166" spans="9:9" ht="15.75" customHeight="1">
      <c r="I166" s="103"/>
    </row>
    <row r="167" spans="9:9" ht="15.75" customHeight="1">
      <c r="I167" s="103"/>
    </row>
    <row r="168" spans="9:9" ht="15.75" customHeight="1">
      <c r="I168" s="103"/>
    </row>
    <row r="169" spans="9:9" ht="15.75" customHeight="1">
      <c r="I169" s="103"/>
    </row>
    <row r="170" spans="9:9" ht="15.75" customHeight="1">
      <c r="I170" s="103"/>
    </row>
    <row r="171" spans="9:9" ht="15.75" customHeight="1">
      <c r="I171" s="103"/>
    </row>
    <row r="172" spans="9:9" ht="15.75" customHeight="1">
      <c r="I172" s="103"/>
    </row>
    <row r="173" spans="9:9" ht="15.75" customHeight="1">
      <c r="I173" s="103"/>
    </row>
    <row r="174" spans="9:9" ht="15.75" customHeight="1">
      <c r="I174" s="103"/>
    </row>
    <row r="175" spans="9:9" ht="15.75" customHeight="1">
      <c r="I175" s="103"/>
    </row>
    <row r="176" spans="9:9" ht="15.75" customHeight="1">
      <c r="I176" s="103"/>
    </row>
    <row r="177" spans="9:9" ht="15.75" customHeight="1">
      <c r="I177" s="103"/>
    </row>
    <row r="178" spans="9:9" ht="15.75" customHeight="1">
      <c r="I178" s="103"/>
    </row>
    <row r="179" spans="9:9" ht="15.75" customHeight="1">
      <c r="I179" s="103"/>
    </row>
    <row r="180" spans="9:9" ht="15.75" customHeight="1">
      <c r="I180" s="103"/>
    </row>
    <row r="181" spans="9:9" ht="15.75" customHeight="1">
      <c r="I181" s="103"/>
    </row>
    <row r="182" spans="9:9" ht="15.75" customHeight="1">
      <c r="I182" s="103"/>
    </row>
    <row r="183" spans="9:9" ht="15.75" customHeight="1">
      <c r="I183" s="103"/>
    </row>
    <row r="184" spans="9:9" ht="15.75" customHeight="1">
      <c r="I184" s="103"/>
    </row>
    <row r="185" spans="9:9" ht="15.75" customHeight="1">
      <c r="I185" s="103"/>
    </row>
    <row r="186" spans="9:9" ht="15.75" customHeight="1">
      <c r="I186" s="103"/>
    </row>
    <row r="187" spans="9:9" ht="15.75" customHeight="1">
      <c r="I187" s="103"/>
    </row>
    <row r="188" spans="9:9" ht="15.75" customHeight="1">
      <c r="I188" s="103"/>
    </row>
    <row r="189" spans="9:9" ht="15.75" customHeight="1">
      <c r="I189" s="103"/>
    </row>
    <row r="190" spans="9:9" ht="15.75" customHeight="1">
      <c r="I190" s="103"/>
    </row>
    <row r="191" spans="9:9" ht="15.75" customHeight="1">
      <c r="I191" s="103"/>
    </row>
    <row r="192" spans="9:9" ht="15.75" customHeight="1">
      <c r="I192" s="103"/>
    </row>
    <row r="193" spans="9:9" ht="15.75" customHeight="1">
      <c r="I193" s="103"/>
    </row>
    <row r="194" spans="9:9" ht="15.75" customHeight="1">
      <c r="I194" s="103"/>
    </row>
    <row r="195" spans="9:9" ht="15.75" customHeight="1">
      <c r="I195" s="103"/>
    </row>
    <row r="196" spans="9:9" ht="15.75" customHeight="1">
      <c r="I196" s="103"/>
    </row>
    <row r="197" spans="9:9" ht="15.75" customHeight="1">
      <c r="I197" s="103"/>
    </row>
    <row r="198" spans="9:9" ht="15.75" customHeight="1">
      <c r="I198" s="103"/>
    </row>
    <row r="199" spans="9:9" ht="15.75" customHeight="1">
      <c r="I199" s="103"/>
    </row>
    <row r="200" spans="9:9" ht="15.75" customHeight="1">
      <c r="I200" s="103"/>
    </row>
    <row r="201" spans="9:9" ht="15.75" customHeight="1">
      <c r="I201" s="103"/>
    </row>
    <row r="202" spans="9:9" ht="15.75" customHeight="1">
      <c r="I202" s="103"/>
    </row>
    <row r="203" spans="9:9" ht="15.75" customHeight="1">
      <c r="I203" s="103"/>
    </row>
    <row r="204" spans="9:9" ht="15.75" customHeight="1">
      <c r="I204" s="103"/>
    </row>
    <row r="205" spans="9:9" ht="15.75" customHeight="1">
      <c r="I205" s="103"/>
    </row>
    <row r="206" spans="9:9" ht="15.75" customHeight="1">
      <c r="I206" s="103"/>
    </row>
    <row r="207" spans="9:9" ht="15.75" customHeight="1">
      <c r="I207" s="103"/>
    </row>
    <row r="208" spans="9:9" ht="15.75" customHeight="1">
      <c r="I208" s="103"/>
    </row>
    <row r="209" spans="9:9" ht="15.75" customHeight="1">
      <c r="I209" s="103"/>
    </row>
    <row r="210" spans="9:9" ht="15.75" customHeight="1">
      <c r="I210" s="103"/>
    </row>
    <row r="211" spans="9:9" ht="15.75" customHeight="1">
      <c r="I211" s="103"/>
    </row>
    <row r="212" spans="9:9" ht="15.75" customHeight="1">
      <c r="I212" s="103"/>
    </row>
    <row r="213" spans="9:9" ht="15.75" customHeight="1">
      <c r="I213" s="103"/>
    </row>
    <row r="214" spans="9:9" ht="15.75" customHeight="1">
      <c r="I214" s="103"/>
    </row>
    <row r="215" spans="9:9" ht="15.75" customHeight="1">
      <c r="I215" s="103"/>
    </row>
    <row r="216" spans="9:9" ht="15.75" customHeight="1">
      <c r="I216" s="103"/>
    </row>
    <row r="217" spans="9:9" ht="15.75" customHeight="1">
      <c r="I217" s="103"/>
    </row>
    <row r="218" spans="9:9" ht="15.75" customHeight="1">
      <c r="I218" s="103"/>
    </row>
    <row r="219" spans="9:9" ht="15.75" customHeight="1">
      <c r="I219" s="103"/>
    </row>
    <row r="220" spans="9:9" ht="15.75" customHeight="1">
      <c r="I220" s="103"/>
    </row>
    <row r="221" spans="9:9" ht="15.75" customHeight="1">
      <c r="I221" s="103"/>
    </row>
    <row r="222" spans="9:9" ht="15.75" customHeight="1">
      <c r="I222" s="103"/>
    </row>
    <row r="223" spans="9:9" ht="15.75" customHeight="1">
      <c r="I223" s="103"/>
    </row>
    <row r="224" spans="9:9" ht="15.75" customHeight="1">
      <c r="I224" s="103"/>
    </row>
    <row r="225" spans="9:9" ht="15.75" customHeight="1">
      <c r="I225" s="103"/>
    </row>
    <row r="226" spans="9:9" ht="15.75" customHeight="1">
      <c r="I226" s="103"/>
    </row>
    <row r="227" spans="9:9" ht="15.75" customHeight="1">
      <c r="I227" s="103"/>
    </row>
    <row r="228" spans="9:9" ht="15.75" customHeight="1">
      <c r="I228" s="103"/>
    </row>
    <row r="229" spans="9:9" ht="15.75" customHeight="1">
      <c r="I229" s="103"/>
    </row>
    <row r="230" spans="9:9" ht="15.75" customHeight="1">
      <c r="I230" s="103"/>
    </row>
    <row r="231" spans="9:9" ht="15.75" customHeight="1">
      <c r="I231" s="103"/>
    </row>
    <row r="232" spans="9:9" ht="15.75" customHeight="1">
      <c r="I232" s="103"/>
    </row>
    <row r="233" spans="9:9" ht="15.75" customHeight="1">
      <c r="I233" s="103"/>
    </row>
    <row r="234" spans="9:9" ht="15.75" customHeight="1">
      <c r="I234" s="103"/>
    </row>
    <row r="235" spans="9:9" ht="15.75" customHeight="1">
      <c r="I235" s="103"/>
    </row>
    <row r="236" spans="9:9" ht="15.75" customHeight="1">
      <c r="I236" s="103"/>
    </row>
    <row r="237" spans="9:9" ht="15.75" customHeight="1">
      <c r="I237" s="103"/>
    </row>
    <row r="238" spans="9:9" ht="15.75" customHeight="1">
      <c r="I238" s="103"/>
    </row>
    <row r="239" spans="9:9" ht="15.75" customHeight="1">
      <c r="I239" s="103"/>
    </row>
    <row r="240" spans="9:9" ht="15.75" customHeight="1">
      <c r="I240" s="103"/>
    </row>
    <row r="241" spans="9:9" ht="15.75" customHeight="1">
      <c r="I241" s="103"/>
    </row>
    <row r="242" spans="9:9" ht="15.75" customHeight="1">
      <c r="I242" s="103"/>
    </row>
    <row r="243" spans="9:9" ht="15.75" customHeight="1">
      <c r="I243" s="103"/>
    </row>
    <row r="244" spans="9:9" ht="15.75" customHeight="1">
      <c r="I244" s="103"/>
    </row>
    <row r="245" spans="9:9" ht="15.75" customHeight="1">
      <c r="I245" s="103"/>
    </row>
    <row r="246" spans="9:9" ht="15.75" customHeight="1">
      <c r="I246" s="103"/>
    </row>
    <row r="247" spans="9:9" ht="15.75" customHeight="1">
      <c r="I247" s="103"/>
    </row>
    <row r="248" spans="9:9" ht="15.75" customHeight="1">
      <c r="I248" s="103"/>
    </row>
    <row r="249" spans="9:9" ht="15.75" customHeight="1">
      <c r="I249" s="103"/>
    </row>
    <row r="250" spans="9:9" ht="15.75" customHeight="1">
      <c r="I250" s="103"/>
    </row>
    <row r="251" spans="9:9" ht="15.75" customHeight="1">
      <c r="I251" s="103"/>
    </row>
    <row r="252" spans="9:9" ht="15.75" customHeight="1">
      <c r="I252" s="103"/>
    </row>
    <row r="253" spans="9:9" ht="15.75" customHeight="1">
      <c r="I253" s="103"/>
    </row>
    <row r="254" spans="9:9" ht="15.75" customHeight="1">
      <c r="I254" s="103"/>
    </row>
    <row r="255" spans="9:9" ht="15.75" customHeight="1">
      <c r="I255" s="103"/>
    </row>
    <row r="256" spans="9:9" ht="15.75" customHeight="1">
      <c r="I256" s="103"/>
    </row>
    <row r="257" spans="9:9" ht="15.75" customHeight="1">
      <c r="I257" s="103"/>
    </row>
    <row r="258" spans="9:9" ht="15.75" customHeight="1">
      <c r="I258" s="103"/>
    </row>
    <row r="259" spans="9:9" ht="15.75" customHeight="1">
      <c r="I259" s="103"/>
    </row>
    <row r="260" spans="9:9" ht="15.75" customHeight="1">
      <c r="I260" s="103"/>
    </row>
    <row r="261" spans="9:9" ht="15.75" customHeight="1">
      <c r="I261" s="103"/>
    </row>
    <row r="262" spans="9:9" ht="15.75" customHeight="1">
      <c r="I262" s="103"/>
    </row>
    <row r="263" spans="9:9" ht="15.75" customHeight="1">
      <c r="I263" s="103"/>
    </row>
    <row r="264" spans="9:9" ht="15.75" customHeight="1">
      <c r="I264" s="103"/>
    </row>
    <row r="265" spans="9:9" ht="15.75" customHeight="1">
      <c r="I265" s="103"/>
    </row>
    <row r="266" spans="9:9" ht="15.75" customHeight="1">
      <c r="I266" s="103"/>
    </row>
    <row r="267" spans="9:9" ht="15.75" customHeight="1">
      <c r="I267" s="103"/>
    </row>
    <row r="268" spans="9:9" ht="15.75" customHeight="1">
      <c r="I268" s="103"/>
    </row>
    <row r="269" spans="9:9" ht="15.75" customHeight="1">
      <c r="I269" s="103"/>
    </row>
    <row r="270" spans="9:9" ht="15.75" customHeight="1">
      <c r="I270" s="103"/>
    </row>
    <row r="271" spans="9:9" ht="15.75" customHeight="1">
      <c r="I271" s="103"/>
    </row>
    <row r="272" spans="9:9" ht="15.75" customHeight="1">
      <c r="I272" s="103"/>
    </row>
    <row r="273" spans="9:9" ht="15.75" customHeight="1">
      <c r="I273" s="103"/>
    </row>
    <row r="274" spans="9:9" ht="15.75" customHeight="1">
      <c r="I274" s="103"/>
    </row>
    <row r="275" spans="9:9" ht="15.75" customHeight="1">
      <c r="I275" s="103"/>
    </row>
    <row r="276" spans="9:9" ht="15.75" customHeight="1">
      <c r="I276" s="103"/>
    </row>
    <row r="277" spans="9:9" ht="15.75" customHeight="1">
      <c r="I277" s="103"/>
    </row>
    <row r="278" spans="9:9" ht="15.75" customHeight="1">
      <c r="I278" s="103"/>
    </row>
    <row r="279" spans="9:9" ht="15.75" customHeight="1">
      <c r="I279" s="103"/>
    </row>
    <row r="280" spans="9:9" ht="15.75" customHeight="1">
      <c r="I280" s="103"/>
    </row>
    <row r="281" spans="9:9" ht="15.75" customHeight="1">
      <c r="I281" s="103"/>
    </row>
    <row r="282" spans="9:9" ht="15.75" customHeight="1">
      <c r="I282" s="103"/>
    </row>
    <row r="283" spans="9:9" ht="15.75" customHeight="1">
      <c r="I283" s="103"/>
    </row>
    <row r="284" spans="9:9" ht="15.75" customHeight="1">
      <c r="I284" s="103"/>
    </row>
    <row r="285" spans="9:9" ht="15.75" customHeight="1">
      <c r="I285" s="103"/>
    </row>
    <row r="286" spans="9:9" ht="15.75" customHeight="1">
      <c r="I286" s="103"/>
    </row>
    <row r="287" spans="9:9" ht="15.75" customHeight="1">
      <c r="I287" s="103"/>
    </row>
    <row r="288" spans="9:9" ht="15.75" customHeight="1">
      <c r="I288" s="103"/>
    </row>
    <row r="289" spans="9:9" ht="15.75" customHeight="1">
      <c r="I289" s="103"/>
    </row>
    <row r="290" spans="9:9" ht="15.75" customHeight="1">
      <c r="I290" s="103"/>
    </row>
    <row r="291" spans="9:9" ht="15.75" customHeight="1">
      <c r="I291" s="103"/>
    </row>
    <row r="292" spans="9:9" ht="15.75" customHeight="1">
      <c r="I292" s="103"/>
    </row>
    <row r="293" spans="9:9" ht="15.75" customHeight="1">
      <c r="I293" s="103"/>
    </row>
    <row r="294" spans="9:9" ht="15.75" customHeight="1">
      <c r="I294" s="103"/>
    </row>
    <row r="295" spans="9:9" ht="15.75" customHeight="1">
      <c r="I295" s="103"/>
    </row>
    <row r="296" spans="9:9" ht="15.75" customHeight="1">
      <c r="I296" s="103"/>
    </row>
    <row r="297" spans="9:9" ht="15.75" customHeight="1">
      <c r="I297" s="103"/>
    </row>
    <row r="298" spans="9:9" ht="15.75" customHeight="1">
      <c r="I298" s="103"/>
    </row>
    <row r="299" spans="9:9" ht="15.75" customHeight="1">
      <c r="I299" s="103"/>
    </row>
    <row r="300" spans="9:9" ht="15.75" customHeight="1">
      <c r="I300" s="103"/>
    </row>
    <row r="301" spans="9:9" ht="15.75" customHeight="1">
      <c r="I301" s="103"/>
    </row>
    <row r="302" spans="9:9" ht="15.75" customHeight="1">
      <c r="I302" s="103"/>
    </row>
    <row r="303" spans="9:9" ht="15.75" customHeight="1">
      <c r="I303" s="103"/>
    </row>
    <row r="304" spans="9:9" ht="15.75" customHeight="1">
      <c r="I304" s="103"/>
    </row>
    <row r="305" spans="9:9" ht="15.75" customHeight="1">
      <c r="I305" s="103"/>
    </row>
    <row r="306" spans="9:9" ht="15.75" customHeight="1">
      <c r="I306" s="103"/>
    </row>
    <row r="307" spans="9:9" ht="15.75" customHeight="1">
      <c r="I307" s="103"/>
    </row>
    <row r="308" spans="9:9" ht="15.75" customHeight="1">
      <c r="I308" s="103"/>
    </row>
    <row r="309" spans="9:9" ht="15.75" customHeight="1">
      <c r="I309" s="103"/>
    </row>
    <row r="310" spans="9:9" ht="15.75" customHeight="1">
      <c r="I310" s="103"/>
    </row>
    <row r="311" spans="9:9" ht="15.75" customHeight="1">
      <c r="I311" s="103"/>
    </row>
    <row r="312" spans="9:9" ht="15.75" customHeight="1">
      <c r="I312" s="103"/>
    </row>
    <row r="313" spans="9:9" ht="15.75" customHeight="1">
      <c r="I313" s="103"/>
    </row>
    <row r="314" spans="9:9" ht="15.75" customHeight="1">
      <c r="I314" s="103"/>
    </row>
    <row r="315" spans="9:9" ht="15.75" customHeight="1">
      <c r="I315" s="103"/>
    </row>
    <row r="316" spans="9:9" ht="15.75" customHeight="1">
      <c r="I316" s="103"/>
    </row>
    <row r="317" spans="9:9" ht="15.75" customHeight="1">
      <c r="I317" s="103"/>
    </row>
    <row r="318" spans="9:9" ht="15.75" customHeight="1">
      <c r="I318" s="103"/>
    </row>
    <row r="319" spans="9:9" ht="15.75" customHeight="1">
      <c r="I319" s="103"/>
    </row>
    <row r="320" spans="9:9" ht="15.75" customHeight="1">
      <c r="I320" s="103"/>
    </row>
    <row r="321" spans="9:9" ht="15.75" customHeight="1">
      <c r="I321" s="103"/>
    </row>
    <row r="322" spans="9:9" ht="15.75" customHeight="1">
      <c r="I322" s="103"/>
    </row>
    <row r="323" spans="9:9" ht="15.75" customHeight="1">
      <c r="I323" s="103"/>
    </row>
    <row r="324" spans="9:9" ht="15.75" customHeight="1">
      <c r="I324" s="103"/>
    </row>
    <row r="325" spans="9:9" ht="15.75" customHeight="1">
      <c r="I325" s="103"/>
    </row>
    <row r="326" spans="9:9" ht="15.75" customHeight="1">
      <c r="I326" s="103"/>
    </row>
    <row r="327" spans="9:9" ht="15.75" customHeight="1">
      <c r="I327" s="103"/>
    </row>
    <row r="328" spans="9:9" ht="15.75" customHeight="1">
      <c r="I328" s="103"/>
    </row>
    <row r="329" spans="9:9" ht="15.75" customHeight="1">
      <c r="I329" s="103"/>
    </row>
    <row r="330" spans="9:9" ht="15.75" customHeight="1">
      <c r="I330" s="103"/>
    </row>
    <row r="331" spans="9:9" ht="15.75" customHeight="1">
      <c r="I331" s="103"/>
    </row>
    <row r="332" spans="9:9" ht="15.75" customHeight="1">
      <c r="I332" s="103"/>
    </row>
    <row r="333" spans="9:9" ht="15.75" customHeight="1">
      <c r="I333" s="103"/>
    </row>
    <row r="334" spans="9:9" ht="15.75" customHeight="1">
      <c r="I334" s="103"/>
    </row>
    <row r="335" spans="9:9" ht="15.75" customHeight="1">
      <c r="I335" s="103"/>
    </row>
    <row r="336" spans="9:9" ht="15.75" customHeight="1">
      <c r="I336" s="103"/>
    </row>
    <row r="337" spans="9:9" ht="15.75" customHeight="1">
      <c r="I337" s="103"/>
    </row>
    <row r="338" spans="9:9" ht="15.75" customHeight="1">
      <c r="I338" s="103"/>
    </row>
    <row r="339" spans="9:9" ht="15.75" customHeight="1">
      <c r="I339" s="103"/>
    </row>
    <row r="340" spans="9:9" ht="15.75" customHeight="1">
      <c r="I340" s="103"/>
    </row>
    <row r="341" spans="9:9" ht="15.75" customHeight="1">
      <c r="I341" s="103"/>
    </row>
    <row r="342" spans="9:9" ht="15.75" customHeight="1">
      <c r="I342" s="103"/>
    </row>
    <row r="343" spans="9:9" ht="15.75" customHeight="1">
      <c r="I343" s="103"/>
    </row>
    <row r="344" spans="9:9" ht="15.75" customHeight="1">
      <c r="I344" s="103"/>
    </row>
    <row r="345" spans="9:9" ht="15.75" customHeight="1">
      <c r="I345" s="103"/>
    </row>
    <row r="346" spans="9:9" ht="15.75" customHeight="1">
      <c r="I346" s="103"/>
    </row>
    <row r="347" spans="9:9" ht="15.75" customHeight="1">
      <c r="I347" s="103"/>
    </row>
    <row r="348" spans="9:9" ht="15.75" customHeight="1">
      <c r="I348" s="103"/>
    </row>
    <row r="349" spans="9:9" ht="15.75" customHeight="1">
      <c r="I349" s="103"/>
    </row>
    <row r="350" spans="9:9" ht="15.75" customHeight="1">
      <c r="I350" s="103"/>
    </row>
    <row r="351" spans="9:9" ht="15.75" customHeight="1">
      <c r="I351" s="103"/>
    </row>
    <row r="352" spans="9:9" ht="15.75" customHeight="1">
      <c r="I352" s="103"/>
    </row>
    <row r="353" spans="9:9" ht="15.75" customHeight="1">
      <c r="I353" s="103"/>
    </row>
    <row r="354" spans="9:9" ht="15.75" customHeight="1">
      <c r="I354" s="103"/>
    </row>
    <row r="355" spans="9:9" ht="15.75" customHeight="1">
      <c r="I355" s="103"/>
    </row>
    <row r="356" spans="9:9" ht="15.75" customHeight="1">
      <c r="I356" s="103"/>
    </row>
    <row r="357" spans="9:9" ht="15.75" customHeight="1">
      <c r="I357" s="103"/>
    </row>
    <row r="358" spans="9:9" ht="15.75" customHeight="1">
      <c r="I358" s="103"/>
    </row>
    <row r="359" spans="9:9" ht="15.75" customHeight="1">
      <c r="I359" s="103"/>
    </row>
    <row r="360" spans="9:9" ht="15.75" customHeight="1">
      <c r="I360" s="103"/>
    </row>
    <row r="361" spans="9:9" ht="15.75" customHeight="1">
      <c r="I361" s="103"/>
    </row>
    <row r="362" spans="9:9" ht="15.75" customHeight="1">
      <c r="I362" s="103"/>
    </row>
    <row r="363" spans="9:9" ht="15.75" customHeight="1">
      <c r="I363" s="103"/>
    </row>
    <row r="364" spans="9:9" ht="15.75" customHeight="1">
      <c r="I364" s="103"/>
    </row>
    <row r="365" spans="9:9" ht="15.75" customHeight="1">
      <c r="I365" s="103"/>
    </row>
    <row r="366" spans="9:9" ht="15.75" customHeight="1">
      <c r="I366" s="103"/>
    </row>
    <row r="367" spans="9:9" ht="15.75" customHeight="1">
      <c r="I367" s="103"/>
    </row>
    <row r="368" spans="9:9" ht="15.75" customHeight="1">
      <c r="I368" s="103"/>
    </row>
    <row r="369" spans="9:9" ht="15.75" customHeight="1">
      <c r="I369" s="103"/>
    </row>
    <row r="370" spans="9:9" ht="15.75" customHeight="1">
      <c r="I370" s="103"/>
    </row>
    <row r="371" spans="9:9" ht="15.75" customHeight="1">
      <c r="I371" s="103"/>
    </row>
    <row r="372" spans="9:9" ht="15.75" customHeight="1">
      <c r="I372" s="103"/>
    </row>
    <row r="373" spans="9:9" ht="15.75" customHeight="1">
      <c r="I373" s="103"/>
    </row>
    <row r="374" spans="9:9" ht="15.75" customHeight="1">
      <c r="I374" s="103"/>
    </row>
    <row r="375" spans="9:9" ht="15.75" customHeight="1">
      <c r="I375" s="103"/>
    </row>
    <row r="376" spans="9:9" ht="15.75" customHeight="1">
      <c r="I376" s="103"/>
    </row>
    <row r="377" spans="9:9" ht="15.75" customHeight="1">
      <c r="I377" s="103"/>
    </row>
    <row r="378" spans="9:9" ht="15.75" customHeight="1">
      <c r="I378" s="103"/>
    </row>
    <row r="379" spans="9:9" ht="15.75" customHeight="1">
      <c r="I379" s="103"/>
    </row>
    <row r="380" spans="9:9" ht="15.75" customHeight="1">
      <c r="I380" s="103"/>
    </row>
    <row r="381" spans="9:9" ht="15.75" customHeight="1">
      <c r="I381" s="103"/>
    </row>
    <row r="382" spans="9:9" ht="15.75" customHeight="1">
      <c r="I382" s="103"/>
    </row>
    <row r="383" spans="9:9" ht="15.75" customHeight="1">
      <c r="I383" s="103"/>
    </row>
    <row r="384" spans="9:9" ht="15.75" customHeight="1">
      <c r="I384" s="103"/>
    </row>
    <row r="385" spans="9:9" ht="15.75" customHeight="1">
      <c r="I385" s="103"/>
    </row>
    <row r="386" spans="9:9" ht="15.75" customHeight="1">
      <c r="I386" s="103"/>
    </row>
    <row r="387" spans="9:9" ht="15.75" customHeight="1">
      <c r="I387" s="103"/>
    </row>
    <row r="388" spans="9:9" ht="15.75" customHeight="1">
      <c r="I388" s="103"/>
    </row>
    <row r="389" spans="9:9" ht="15.75" customHeight="1">
      <c r="I389" s="103"/>
    </row>
    <row r="390" spans="9:9" ht="15.75" customHeight="1">
      <c r="I390" s="103"/>
    </row>
    <row r="391" spans="9:9" ht="15.75" customHeight="1">
      <c r="I391" s="103"/>
    </row>
    <row r="392" spans="9:9" ht="15.75" customHeight="1">
      <c r="I392" s="103"/>
    </row>
    <row r="393" spans="9:9" ht="15.75" customHeight="1">
      <c r="I393" s="103"/>
    </row>
    <row r="394" spans="9:9" ht="15.75" customHeight="1">
      <c r="I394" s="103"/>
    </row>
    <row r="395" spans="9:9" ht="15.75" customHeight="1">
      <c r="I395" s="103"/>
    </row>
    <row r="396" spans="9:9" ht="15.75" customHeight="1">
      <c r="I396" s="103"/>
    </row>
    <row r="397" spans="9:9" ht="15.75" customHeight="1">
      <c r="I397" s="103"/>
    </row>
    <row r="398" spans="9:9" ht="15.75" customHeight="1">
      <c r="I398" s="103"/>
    </row>
    <row r="399" spans="9:9" ht="15.75" customHeight="1">
      <c r="I399" s="103"/>
    </row>
    <row r="400" spans="9:9" ht="15.75" customHeight="1">
      <c r="I400" s="103"/>
    </row>
    <row r="401" spans="9:9" ht="15.75" customHeight="1">
      <c r="I401" s="103"/>
    </row>
    <row r="402" spans="9:9" ht="15.75" customHeight="1">
      <c r="I402" s="103"/>
    </row>
    <row r="403" spans="9:9" ht="15.75" customHeight="1">
      <c r="I403" s="103"/>
    </row>
    <row r="404" spans="9:9" ht="15.75" customHeight="1">
      <c r="I404" s="103"/>
    </row>
    <row r="405" spans="9:9" ht="15.75" customHeight="1">
      <c r="I405" s="103"/>
    </row>
    <row r="406" spans="9:9" ht="15.75" customHeight="1">
      <c r="I406" s="103"/>
    </row>
    <row r="407" spans="9:9" ht="15.75" customHeight="1">
      <c r="I407" s="103"/>
    </row>
    <row r="408" spans="9:9" ht="15.75" customHeight="1">
      <c r="I408" s="103"/>
    </row>
    <row r="409" spans="9:9" ht="15.75" customHeight="1">
      <c r="I409" s="103"/>
    </row>
    <row r="410" spans="9:9" ht="15.75" customHeight="1">
      <c r="I410" s="103"/>
    </row>
    <row r="411" spans="9:9" ht="15.75" customHeight="1">
      <c r="I411" s="103"/>
    </row>
    <row r="412" spans="9:9" ht="15.75" customHeight="1">
      <c r="I412" s="103"/>
    </row>
    <row r="413" spans="9:9" ht="15.75" customHeight="1">
      <c r="I413" s="103"/>
    </row>
    <row r="414" spans="9:9" ht="15.75" customHeight="1">
      <c r="I414" s="103"/>
    </row>
    <row r="415" spans="9:9" ht="15.75" customHeight="1">
      <c r="I415" s="103"/>
    </row>
    <row r="416" spans="9:9" ht="15.75" customHeight="1">
      <c r="I416" s="103"/>
    </row>
    <row r="417" spans="9:9" ht="15.75" customHeight="1">
      <c r="I417" s="103"/>
    </row>
    <row r="418" spans="9:9" ht="15.75" customHeight="1">
      <c r="I418" s="103"/>
    </row>
    <row r="419" spans="9:9" ht="15.75" customHeight="1">
      <c r="I419" s="103"/>
    </row>
    <row r="420" spans="9:9" ht="15.75" customHeight="1">
      <c r="I420" s="103"/>
    </row>
    <row r="421" spans="9:9" ht="15.75" customHeight="1">
      <c r="I421" s="103"/>
    </row>
    <row r="422" spans="9:9" ht="15.75" customHeight="1">
      <c r="I422" s="103"/>
    </row>
    <row r="423" spans="9:9" ht="15.75" customHeight="1">
      <c r="I423" s="103"/>
    </row>
    <row r="424" spans="9:9" ht="15.75" customHeight="1">
      <c r="I424" s="103"/>
    </row>
    <row r="425" spans="9:9" ht="15.75" customHeight="1">
      <c r="I425" s="103"/>
    </row>
    <row r="426" spans="9:9" ht="15.75" customHeight="1">
      <c r="I426" s="103"/>
    </row>
    <row r="427" spans="9:9" ht="15.75" customHeight="1">
      <c r="I427" s="103"/>
    </row>
    <row r="428" spans="9:9" ht="15.75" customHeight="1">
      <c r="I428" s="103"/>
    </row>
    <row r="429" spans="9:9" ht="15.75" customHeight="1">
      <c r="I429" s="103"/>
    </row>
    <row r="430" spans="9:9" ht="15.75" customHeight="1">
      <c r="I430" s="103"/>
    </row>
    <row r="431" spans="9:9" ht="15.75" customHeight="1">
      <c r="I431" s="103"/>
    </row>
    <row r="432" spans="9:9" ht="15.75" customHeight="1">
      <c r="I432" s="103"/>
    </row>
    <row r="433" spans="9:9" ht="15.75" customHeight="1">
      <c r="I433" s="103"/>
    </row>
    <row r="434" spans="9:9" ht="15.75" customHeight="1">
      <c r="I434" s="103"/>
    </row>
    <row r="435" spans="9:9" ht="15.75" customHeight="1">
      <c r="I435" s="103"/>
    </row>
    <row r="436" spans="9:9" ht="15.75" customHeight="1">
      <c r="I436" s="103"/>
    </row>
    <row r="437" spans="9:9" ht="15.75" customHeight="1">
      <c r="I437" s="103"/>
    </row>
    <row r="438" spans="9:9" ht="15.75" customHeight="1">
      <c r="I438" s="103"/>
    </row>
    <row r="439" spans="9:9" ht="15.75" customHeight="1">
      <c r="I439" s="103"/>
    </row>
    <row r="440" spans="9:9" ht="15.75" customHeight="1">
      <c r="I440" s="103"/>
    </row>
    <row r="441" spans="9:9" ht="15.75" customHeight="1">
      <c r="I441" s="103"/>
    </row>
    <row r="442" spans="9:9" ht="15.75" customHeight="1">
      <c r="I442" s="103"/>
    </row>
    <row r="443" spans="9:9" ht="15.75" customHeight="1">
      <c r="I443" s="103"/>
    </row>
    <row r="444" spans="9:9" ht="15.75" customHeight="1">
      <c r="I444" s="103"/>
    </row>
    <row r="445" spans="9:9" ht="15.75" customHeight="1">
      <c r="I445" s="103"/>
    </row>
    <row r="446" spans="9:9" ht="15.75" customHeight="1">
      <c r="I446" s="103"/>
    </row>
    <row r="447" spans="9:9" ht="15.75" customHeight="1">
      <c r="I447" s="103"/>
    </row>
    <row r="448" spans="9:9" ht="15.75" customHeight="1">
      <c r="I448" s="103"/>
    </row>
    <row r="449" spans="9:9" ht="15.75" customHeight="1">
      <c r="I449" s="103"/>
    </row>
    <row r="450" spans="9:9" ht="15.75" customHeight="1">
      <c r="I450" s="103"/>
    </row>
    <row r="451" spans="9:9" ht="15.75" customHeight="1">
      <c r="I451" s="103"/>
    </row>
    <row r="452" spans="9:9" ht="15.75" customHeight="1">
      <c r="I452" s="103"/>
    </row>
    <row r="453" spans="9:9" ht="15.75" customHeight="1">
      <c r="I453" s="103"/>
    </row>
    <row r="454" spans="9:9" ht="15.75" customHeight="1">
      <c r="I454" s="103"/>
    </row>
    <row r="455" spans="9:9" ht="15.75" customHeight="1">
      <c r="I455" s="103"/>
    </row>
    <row r="456" spans="9:9" ht="15.75" customHeight="1">
      <c r="I456" s="103"/>
    </row>
    <row r="457" spans="9:9" ht="15.75" customHeight="1">
      <c r="I457" s="103"/>
    </row>
    <row r="458" spans="9:9" ht="15.75" customHeight="1">
      <c r="I458" s="103"/>
    </row>
    <row r="459" spans="9:9" ht="15.75" customHeight="1">
      <c r="I459" s="103"/>
    </row>
    <row r="460" spans="9:9" ht="15.75" customHeight="1">
      <c r="I460" s="103"/>
    </row>
    <row r="461" spans="9:9" ht="15.75" customHeight="1">
      <c r="I461" s="103"/>
    </row>
    <row r="462" spans="9:9" ht="15.75" customHeight="1">
      <c r="I462" s="103"/>
    </row>
    <row r="463" spans="9:9" ht="15.75" customHeight="1">
      <c r="I463" s="103"/>
    </row>
    <row r="464" spans="9:9" ht="15.75" customHeight="1">
      <c r="I464" s="103"/>
    </row>
    <row r="465" spans="9:9" ht="15.75" customHeight="1">
      <c r="I465" s="103"/>
    </row>
    <row r="466" spans="9:9" ht="15.75" customHeight="1">
      <c r="I466" s="103"/>
    </row>
    <row r="467" spans="9:9" ht="15.75" customHeight="1">
      <c r="I467" s="103"/>
    </row>
    <row r="468" spans="9:9" ht="15.75" customHeight="1">
      <c r="I468" s="103"/>
    </row>
    <row r="469" spans="9:9" ht="15.75" customHeight="1">
      <c r="I469" s="103"/>
    </row>
    <row r="470" spans="9:9" ht="15.75" customHeight="1">
      <c r="I470" s="103"/>
    </row>
    <row r="471" spans="9:9" ht="15.75" customHeight="1">
      <c r="I471" s="103"/>
    </row>
    <row r="472" spans="9:9" ht="15.75" customHeight="1">
      <c r="I472" s="103"/>
    </row>
    <row r="473" spans="9:9" ht="15.75" customHeight="1">
      <c r="I473" s="103"/>
    </row>
    <row r="474" spans="9:9" ht="15.75" customHeight="1">
      <c r="I474" s="103"/>
    </row>
    <row r="475" spans="9:9" ht="15.75" customHeight="1">
      <c r="I475" s="103"/>
    </row>
    <row r="476" spans="9:9" ht="15.75" customHeight="1">
      <c r="I476" s="103"/>
    </row>
    <row r="477" spans="9:9" ht="15.75" customHeight="1">
      <c r="I477" s="103"/>
    </row>
    <row r="478" spans="9:9" ht="15.75" customHeight="1">
      <c r="I478" s="103"/>
    </row>
    <row r="479" spans="9:9" ht="15.75" customHeight="1">
      <c r="I479" s="103"/>
    </row>
    <row r="480" spans="9:9" ht="15.75" customHeight="1">
      <c r="I480" s="103"/>
    </row>
    <row r="481" spans="9:9" ht="15.75" customHeight="1">
      <c r="I481" s="103"/>
    </row>
    <row r="482" spans="9:9" ht="15.75" customHeight="1">
      <c r="I482" s="103"/>
    </row>
    <row r="483" spans="9:9" ht="15.75" customHeight="1">
      <c r="I483" s="103"/>
    </row>
    <row r="484" spans="9:9" ht="15.75" customHeight="1">
      <c r="I484" s="103"/>
    </row>
    <row r="485" spans="9:9" ht="15.75" customHeight="1">
      <c r="I485" s="103"/>
    </row>
    <row r="486" spans="9:9" ht="15.75" customHeight="1">
      <c r="I486" s="103"/>
    </row>
    <row r="487" spans="9:9" ht="15.75" customHeight="1">
      <c r="I487" s="103"/>
    </row>
    <row r="488" spans="9:9" ht="15.75" customHeight="1">
      <c r="I488" s="103"/>
    </row>
    <row r="489" spans="9:9" ht="15.75" customHeight="1">
      <c r="I489" s="103"/>
    </row>
    <row r="490" spans="9:9" ht="15.75" customHeight="1">
      <c r="I490" s="103"/>
    </row>
    <row r="491" spans="9:9" ht="15.75" customHeight="1">
      <c r="I491" s="103"/>
    </row>
    <row r="492" spans="9:9" ht="15.75" customHeight="1">
      <c r="I492" s="103"/>
    </row>
    <row r="493" spans="9:9" ht="15.75" customHeight="1">
      <c r="I493" s="103"/>
    </row>
    <row r="494" spans="9:9" ht="15.75" customHeight="1">
      <c r="I494" s="103"/>
    </row>
    <row r="495" spans="9:9" ht="15.75" customHeight="1">
      <c r="I495" s="103"/>
    </row>
    <row r="496" spans="9:9" ht="15.75" customHeight="1">
      <c r="I496" s="103"/>
    </row>
    <row r="497" spans="9:9" ht="15.75" customHeight="1">
      <c r="I497" s="103"/>
    </row>
    <row r="498" spans="9:9" ht="15.75" customHeight="1">
      <c r="I498" s="103"/>
    </row>
    <row r="499" spans="9:9" ht="15.75" customHeight="1">
      <c r="I499" s="103"/>
    </row>
    <row r="500" spans="9:9" ht="15.75" customHeight="1">
      <c r="I500" s="103"/>
    </row>
    <row r="501" spans="9:9" ht="15.75" customHeight="1">
      <c r="I501" s="103"/>
    </row>
    <row r="502" spans="9:9" ht="15.75" customHeight="1">
      <c r="I502" s="103"/>
    </row>
    <row r="503" spans="9:9" ht="15.75" customHeight="1">
      <c r="I503" s="103"/>
    </row>
    <row r="504" spans="9:9" ht="15.75" customHeight="1">
      <c r="I504" s="103"/>
    </row>
    <row r="505" spans="9:9" ht="15.75" customHeight="1">
      <c r="I505" s="103"/>
    </row>
    <row r="506" spans="9:9" ht="15.75" customHeight="1">
      <c r="I506" s="103"/>
    </row>
    <row r="507" spans="9:9" ht="15.75" customHeight="1">
      <c r="I507" s="103"/>
    </row>
    <row r="508" spans="9:9" ht="15.75" customHeight="1">
      <c r="I508" s="103"/>
    </row>
    <row r="509" spans="9:9" ht="15.75" customHeight="1">
      <c r="I509" s="103"/>
    </row>
    <row r="510" spans="9:9" ht="15.75" customHeight="1">
      <c r="I510" s="103"/>
    </row>
    <row r="511" spans="9:9" ht="15.75" customHeight="1">
      <c r="I511" s="103"/>
    </row>
    <row r="512" spans="9:9" ht="15.75" customHeight="1">
      <c r="I512" s="103"/>
    </row>
    <row r="513" spans="9:9" ht="15.75" customHeight="1">
      <c r="I513" s="103"/>
    </row>
    <row r="514" spans="9:9" ht="15.75" customHeight="1">
      <c r="I514" s="103"/>
    </row>
    <row r="515" spans="9:9" ht="15.75" customHeight="1">
      <c r="I515" s="103"/>
    </row>
    <row r="516" spans="9:9" ht="15.75" customHeight="1">
      <c r="I516" s="103"/>
    </row>
    <row r="517" spans="9:9" ht="15.75" customHeight="1">
      <c r="I517" s="103"/>
    </row>
    <row r="518" spans="9:9" ht="15.75" customHeight="1">
      <c r="I518" s="103"/>
    </row>
    <row r="519" spans="9:9" ht="15.75" customHeight="1">
      <c r="I519" s="103"/>
    </row>
    <row r="520" spans="9:9" ht="15.75" customHeight="1">
      <c r="I520" s="103"/>
    </row>
    <row r="521" spans="9:9" ht="15.75" customHeight="1">
      <c r="I521" s="103"/>
    </row>
    <row r="522" spans="9:9" ht="15.75" customHeight="1">
      <c r="I522" s="103"/>
    </row>
    <row r="523" spans="9:9" ht="15.75" customHeight="1">
      <c r="I523" s="103"/>
    </row>
    <row r="524" spans="9:9" ht="15.75" customHeight="1">
      <c r="I524" s="103"/>
    </row>
    <row r="525" spans="9:9" ht="15.75" customHeight="1">
      <c r="I525" s="103"/>
    </row>
    <row r="526" spans="9:9" ht="15.75" customHeight="1">
      <c r="I526" s="103"/>
    </row>
    <row r="527" spans="9:9" ht="15.75" customHeight="1">
      <c r="I527" s="103"/>
    </row>
    <row r="528" spans="9:9" ht="15.75" customHeight="1">
      <c r="I528" s="103"/>
    </row>
    <row r="529" spans="9:9" ht="15.75" customHeight="1">
      <c r="I529" s="103"/>
    </row>
    <row r="530" spans="9:9" ht="15.75" customHeight="1">
      <c r="I530" s="103"/>
    </row>
    <row r="531" spans="9:9" ht="15.75" customHeight="1">
      <c r="I531" s="103"/>
    </row>
    <row r="532" spans="9:9" ht="15.75" customHeight="1">
      <c r="I532" s="103"/>
    </row>
    <row r="533" spans="9:9" ht="15.75" customHeight="1">
      <c r="I533" s="103"/>
    </row>
    <row r="534" spans="9:9" ht="15.75" customHeight="1">
      <c r="I534" s="103"/>
    </row>
    <row r="535" spans="9:9" ht="15.75" customHeight="1">
      <c r="I535" s="103"/>
    </row>
    <row r="536" spans="9:9" ht="15.75" customHeight="1">
      <c r="I536" s="103"/>
    </row>
    <row r="537" spans="9:9" ht="15.75" customHeight="1">
      <c r="I537" s="103"/>
    </row>
    <row r="538" spans="9:9" ht="15.75" customHeight="1">
      <c r="I538" s="103"/>
    </row>
    <row r="539" spans="9:9" ht="15.75" customHeight="1">
      <c r="I539" s="103"/>
    </row>
    <row r="540" spans="9:9" ht="15.75" customHeight="1">
      <c r="I540" s="103"/>
    </row>
    <row r="541" spans="9:9" ht="15.75" customHeight="1">
      <c r="I541" s="103"/>
    </row>
    <row r="542" spans="9:9" ht="15.75" customHeight="1">
      <c r="I542" s="103"/>
    </row>
    <row r="543" spans="9:9" ht="15.75" customHeight="1">
      <c r="I543" s="103"/>
    </row>
    <row r="544" spans="9:9" ht="15.75" customHeight="1">
      <c r="I544" s="103"/>
    </row>
    <row r="545" spans="9:9" ht="15.75" customHeight="1">
      <c r="I545" s="103"/>
    </row>
    <row r="546" spans="9:9" ht="15.75" customHeight="1">
      <c r="I546" s="103"/>
    </row>
    <row r="547" spans="9:9" ht="15.75" customHeight="1">
      <c r="I547" s="103"/>
    </row>
    <row r="548" spans="9:9" ht="15.75" customHeight="1">
      <c r="I548" s="103"/>
    </row>
    <row r="549" spans="9:9" ht="15.75" customHeight="1">
      <c r="I549" s="103"/>
    </row>
    <row r="550" spans="9:9" ht="15.75" customHeight="1">
      <c r="I550" s="103"/>
    </row>
    <row r="551" spans="9:9" ht="15.75" customHeight="1">
      <c r="I551" s="103"/>
    </row>
    <row r="552" spans="9:9" ht="15.75" customHeight="1">
      <c r="I552" s="103"/>
    </row>
    <row r="553" spans="9:9" ht="15.75" customHeight="1">
      <c r="I553" s="103"/>
    </row>
    <row r="554" spans="9:9" ht="15.75" customHeight="1">
      <c r="I554" s="103"/>
    </row>
    <row r="555" spans="9:9" ht="15.75" customHeight="1">
      <c r="I555" s="103"/>
    </row>
    <row r="556" spans="9:9" ht="15.75" customHeight="1">
      <c r="I556" s="103"/>
    </row>
    <row r="557" spans="9:9" ht="15.75" customHeight="1">
      <c r="I557" s="103"/>
    </row>
    <row r="558" spans="9:9" ht="15.75" customHeight="1">
      <c r="I558" s="103"/>
    </row>
    <row r="559" spans="9:9" ht="15.75" customHeight="1">
      <c r="I559" s="103"/>
    </row>
    <row r="560" spans="9:9" ht="15.75" customHeight="1">
      <c r="I560" s="103"/>
    </row>
    <row r="561" spans="9:9" ht="15.75" customHeight="1">
      <c r="I561" s="103"/>
    </row>
    <row r="562" spans="9:9" ht="15.75" customHeight="1">
      <c r="I562" s="103"/>
    </row>
    <row r="563" spans="9:9" ht="15.75" customHeight="1">
      <c r="I563" s="103"/>
    </row>
    <row r="564" spans="9:9" ht="15.75" customHeight="1">
      <c r="I564" s="103"/>
    </row>
    <row r="565" spans="9:9" ht="15.75" customHeight="1">
      <c r="I565" s="103"/>
    </row>
    <row r="566" spans="9:9" ht="15.75" customHeight="1">
      <c r="I566" s="103"/>
    </row>
    <row r="567" spans="9:9" ht="15.75" customHeight="1">
      <c r="I567" s="103"/>
    </row>
    <row r="568" spans="9:9" ht="15.75" customHeight="1">
      <c r="I568" s="103"/>
    </row>
    <row r="569" spans="9:9" ht="15.75" customHeight="1">
      <c r="I569" s="103"/>
    </row>
    <row r="570" spans="9:9" ht="15.75" customHeight="1">
      <c r="I570" s="103"/>
    </row>
    <row r="571" spans="9:9" ht="15.75" customHeight="1">
      <c r="I571" s="103"/>
    </row>
    <row r="572" spans="9:9" ht="15.75" customHeight="1">
      <c r="I572" s="103"/>
    </row>
    <row r="573" spans="9:9" ht="15.75" customHeight="1">
      <c r="I573" s="103"/>
    </row>
    <row r="574" spans="9:9" ht="15.75" customHeight="1">
      <c r="I574" s="103"/>
    </row>
    <row r="575" spans="9:9" ht="15.75" customHeight="1">
      <c r="I575" s="103"/>
    </row>
    <row r="576" spans="9:9" ht="15.75" customHeight="1">
      <c r="I576" s="103"/>
    </row>
    <row r="577" spans="9:9" ht="15.75" customHeight="1">
      <c r="I577" s="103"/>
    </row>
    <row r="578" spans="9:9" ht="15.75" customHeight="1">
      <c r="I578" s="103"/>
    </row>
    <row r="579" spans="9:9" ht="15.75" customHeight="1">
      <c r="I579" s="103"/>
    </row>
    <row r="580" spans="9:9" ht="15.75" customHeight="1">
      <c r="I580" s="103"/>
    </row>
    <row r="581" spans="9:9" ht="15.75" customHeight="1">
      <c r="I581" s="103"/>
    </row>
    <row r="582" spans="9:9" ht="15.75" customHeight="1">
      <c r="I582" s="103"/>
    </row>
    <row r="583" spans="9:9" ht="15.75" customHeight="1">
      <c r="I583" s="103"/>
    </row>
    <row r="584" spans="9:9" ht="15.75" customHeight="1">
      <c r="I584" s="103"/>
    </row>
    <row r="585" spans="9:9" ht="15.75" customHeight="1">
      <c r="I585" s="103"/>
    </row>
    <row r="586" spans="9:9" ht="15.75" customHeight="1">
      <c r="I586" s="103"/>
    </row>
    <row r="587" spans="9:9" ht="15.75" customHeight="1">
      <c r="I587" s="103"/>
    </row>
    <row r="588" spans="9:9" ht="15.75" customHeight="1">
      <c r="I588" s="103"/>
    </row>
    <row r="589" spans="9:9" ht="15.75" customHeight="1">
      <c r="I589" s="103"/>
    </row>
    <row r="590" spans="9:9" ht="15.75" customHeight="1">
      <c r="I590" s="103"/>
    </row>
    <row r="591" spans="9:9" ht="15.75" customHeight="1">
      <c r="I591" s="103"/>
    </row>
    <row r="592" spans="9:9" ht="15.75" customHeight="1">
      <c r="I592" s="103"/>
    </row>
    <row r="593" spans="9:9" ht="15.75" customHeight="1">
      <c r="I593" s="103"/>
    </row>
    <row r="594" spans="9:9" ht="15.75" customHeight="1">
      <c r="I594" s="103"/>
    </row>
    <row r="595" spans="9:9" ht="15.75" customHeight="1">
      <c r="I595" s="103"/>
    </row>
    <row r="596" spans="9:9" ht="15.75" customHeight="1">
      <c r="I596" s="103"/>
    </row>
    <row r="597" spans="9:9" ht="15.75" customHeight="1">
      <c r="I597" s="103"/>
    </row>
    <row r="598" spans="9:9" ht="15.75" customHeight="1">
      <c r="I598" s="103"/>
    </row>
    <row r="599" spans="9:9" ht="15.75" customHeight="1">
      <c r="I599" s="103"/>
    </row>
    <row r="600" spans="9:9" ht="15.75" customHeight="1">
      <c r="I600" s="103"/>
    </row>
    <row r="601" spans="9:9" ht="15.75" customHeight="1">
      <c r="I601" s="103"/>
    </row>
    <row r="602" spans="9:9" ht="15.75" customHeight="1">
      <c r="I602" s="103"/>
    </row>
    <row r="603" spans="9:9" ht="15.75" customHeight="1">
      <c r="I603" s="103"/>
    </row>
    <row r="604" spans="9:9" ht="15.75" customHeight="1">
      <c r="I604" s="103"/>
    </row>
    <row r="605" spans="9:9" ht="15.75" customHeight="1">
      <c r="I605" s="103"/>
    </row>
    <row r="606" spans="9:9" ht="15.75" customHeight="1">
      <c r="I606" s="103"/>
    </row>
    <row r="607" spans="9:9" ht="15.75" customHeight="1">
      <c r="I607" s="103"/>
    </row>
    <row r="608" spans="9:9" ht="15.75" customHeight="1">
      <c r="I608" s="103"/>
    </row>
    <row r="609" spans="9:9" ht="15.75" customHeight="1">
      <c r="I609" s="103"/>
    </row>
    <row r="610" spans="9:9" ht="15.75" customHeight="1">
      <c r="I610" s="103"/>
    </row>
    <row r="611" spans="9:9" ht="15.75" customHeight="1">
      <c r="I611" s="103"/>
    </row>
    <row r="612" spans="9:9" ht="15.75" customHeight="1">
      <c r="I612" s="103"/>
    </row>
    <row r="613" spans="9:9" ht="15.75" customHeight="1">
      <c r="I613" s="103"/>
    </row>
    <row r="614" spans="9:9" ht="15.75" customHeight="1">
      <c r="I614" s="103"/>
    </row>
    <row r="615" spans="9:9" ht="15.75" customHeight="1">
      <c r="I615" s="103"/>
    </row>
    <row r="616" spans="9:9" ht="15.75" customHeight="1">
      <c r="I616" s="103"/>
    </row>
    <row r="617" spans="9:9" ht="15.75" customHeight="1">
      <c r="I617" s="103"/>
    </row>
    <row r="618" spans="9:9" ht="15.75" customHeight="1">
      <c r="I618" s="103"/>
    </row>
    <row r="619" spans="9:9" ht="15.75" customHeight="1">
      <c r="I619" s="103"/>
    </row>
    <row r="620" spans="9:9" ht="15.75" customHeight="1">
      <c r="I620" s="103"/>
    </row>
    <row r="621" spans="9:9" ht="15.75" customHeight="1">
      <c r="I621" s="103"/>
    </row>
    <row r="622" spans="9:9" ht="15.75" customHeight="1">
      <c r="I622" s="103"/>
    </row>
    <row r="623" spans="9:9" ht="15.75" customHeight="1">
      <c r="I623" s="103"/>
    </row>
    <row r="624" spans="9:9" ht="15.75" customHeight="1">
      <c r="I624" s="103"/>
    </row>
    <row r="625" spans="9:9" ht="15.75" customHeight="1">
      <c r="I625" s="103"/>
    </row>
    <row r="626" spans="9:9" ht="15.75" customHeight="1">
      <c r="I626" s="103"/>
    </row>
    <row r="627" spans="9:9" ht="15.75" customHeight="1">
      <c r="I627" s="103"/>
    </row>
    <row r="628" spans="9:9" ht="15.75" customHeight="1">
      <c r="I628" s="103"/>
    </row>
    <row r="629" spans="9:9" ht="15.75" customHeight="1">
      <c r="I629" s="103"/>
    </row>
    <row r="630" spans="9:9" ht="15.75" customHeight="1">
      <c r="I630" s="103"/>
    </row>
    <row r="631" spans="9:9" ht="15.75" customHeight="1">
      <c r="I631" s="103"/>
    </row>
    <row r="632" spans="9:9" ht="15.75" customHeight="1">
      <c r="I632" s="103"/>
    </row>
    <row r="633" spans="9:9" ht="15.75" customHeight="1">
      <c r="I633" s="103"/>
    </row>
    <row r="634" spans="9:9" ht="15.75" customHeight="1">
      <c r="I634" s="103"/>
    </row>
    <row r="635" spans="9:9" ht="15.75" customHeight="1">
      <c r="I635" s="103"/>
    </row>
    <row r="636" spans="9:9" ht="15.75" customHeight="1">
      <c r="I636" s="103"/>
    </row>
    <row r="637" spans="9:9" ht="15.75" customHeight="1">
      <c r="I637" s="103"/>
    </row>
    <row r="638" spans="9:9" ht="15.75" customHeight="1">
      <c r="I638" s="103"/>
    </row>
    <row r="639" spans="9:9" ht="15.75" customHeight="1">
      <c r="I639" s="103"/>
    </row>
    <row r="640" spans="9:9" ht="15.75" customHeight="1">
      <c r="I640" s="103"/>
    </row>
    <row r="641" spans="9:9" ht="15.75" customHeight="1">
      <c r="I641" s="103"/>
    </row>
    <row r="642" spans="9:9" ht="15.75" customHeight="1">
      <c r="I642" s="103"/>
    </row>
    <row r="643" spans="9:9" ht="15.75" customHeight="1">
      <c r="I643" s="103"/>
    </row>
    <row r="644" spans="9:9" ht="15.75" customHeight="1">
      <c r="I644" s="103"/>
    </row>
    <row r="645" spans="9:9" ht="15.75" customHeight="1">
      <c r="I645" s="103"/>
    </row>
    <row r="646" spans="9:9" ht="15.75" customHeight="1">
      <c r="I646" s="103"/>
    </row>
    <row r="647" spans="9:9" ht="15.75" customHeight="1">
      <c r="I647" s="103"/>
    </row>
    <row r="648" spans="9:9" ht="15.75" customHeight="1">
      <c r="I648" s="103"/>
    </row>
    <row r="649" spans="9:9" ht="15.75" customHeight="1">
      <c r="I649" s="103"/>
    </row>
    <row r="650" spans="9:9" ht="15.75" customHeight="1">
      <c r="I650" s="103"/>
    </row>
    <row r="651" spans="9:9" ht="15.75" customHeight="1">
      <c r="I651" s="103"/>
    </row>
    <row r="652" spans="9:9" ht="15.75" customHeight="1">
      <c r="I652" s="103"/>
    </row>
    <row r="653" spans="9:9" ht="15.75" customHeight="1">
      <c r="I653" s="103"/>
    </row>
    <row r="654" spans="9:9" ht="15.75" customHeight="1">
      <c r="I654" s="103"/>
    </row>
    <row r="655" spans="9:9" ht="15.75" customHeight="1">
      <c r="I655" s="103"/>
    </row>
    <row r="656" spans="9:9" ht="15.75" customHeight="1">
      <c r="I656" s="103"/>
    </row>
    <row r="657" spans="9:9" ht="15.75" customHeight="1">
      <c r="I657" s="103"/>
    </row>
    <row r="658" spans="9:9" ht="15.75" customHeight="1">
      <c r="I658" s="103"/>
    </row>
    <row r="659" spans="9:9" ht="15.75" customHeight="1">
      <c r="I659" s="103"/>
    </row>
    <row r="660" spans="9:9" ht="15.75" customHeight="1">
      <c r="I660" s="103"/>
    </row>
    <row r="661" spans="9:9" ht="15.75" customHeight="1">
      <c r="I661" s="103"/>
    </row>
    <row r="662" spans="9:9" ht="15.75" customHeight="1">
      <c r="I662" s="103"/>
    </row>
    <row r="663" spans="9:9" ht="15.75" customHeight="1">
      <c r="I663" s="103"/>
    </row>
    <row r="664" spans="9:9" ht="15.75" customHeight="1">
      <c r="I664" s="103"/>
    </row>
    <row r="665" spans="9:9" ht="15.75" customHeight="1">
      <c r="I665" s="103"/>
    </row>
    <row r="666" spans="9:9" ht="15.75" customHeight="1">
      <c r="I666" s="103"/>
    </row>
    <row r="667" spans="9:9" ht="15.75" customHeight="1">
      <c r="I667" s="103"/>
    </row>
    <row r="668" spans="9:9" ht="15.75" customHeight="1">
      <c r="I668" s="103"/>
    </row>
    <row r="669" spans="9:9" ht="15.75" customHeight="1">
      <c r="I669" s="103"/>
    </row>
    <row r="670" spans="9:9" ht="15.75" customHeight="1">
      <c r="I670" s="103"/>
    </row>
    <row r="671" spans="9:9" ht="15.75" customHeight="1">
      <c r="I671" s="103"/>
    </row>
    <row r="672" spans="9:9" ht="15.75" customHeight="1">
      <c r="I672" s="103"/>
    </row>
    <row r="673" spans="9:9" ht="15.75" customHeight="1">
      <c r="I673" s="103"/>
    </row>
    <row r="674" spans="9:9" ht="15.75" customHeight="1">
      <c r="I674" s="103"/>
    </row>
    <row r="675" spans="9:9" ht="15.75" customHeight="1">
      <c r="I675" s="103"/>
    </row>
    <row r="676" spans="9:9" ht="15.75" customHeight="1">
      <c r="I676" s="103"/>
    </row>
    <row r="677" spans="9:9" ht="15.75" customHeight="1">
      <c r="I677" s="103"/>
    </row>
    <row r="678" spans="9:9" ht="15.75" customHeight="1">
      <c r="I678" s="103"/>
    </row>
    <row r="679" spans="9:9" ht="15.75" customHeight="1">
      <c r="I679" s="103"/>
    </row>
    <row r="680" spans="9:9" ht="15.75" customHeight="1">
      <c r="I680" s="103"/>
    </row>
    <row r="681" spans="9:9" ht="15.75" customHeight="1">
      <c r="I681" s="103"/>
    </row>
    <row r="682" spans="9:9" ht="15.75" customHeight="1">
      <c r="I682" s="103"/>
    </row>
    <row r="683" spans="9:9" ht="15.75" customHeight="1">
      <c r="I683" s="103"/>
    </row>
    <row r="684" spans="9:9" ht="15.75" customHeight="1">
      <c r="I684" s="103"/>
    </row>
    <row r="685" spans="9:9" ht="15.75" customHeight="1">
      <c r="I685" s="103"/>
    </row>
    <row r="686" spans="9:9" ht="15.75" customHeight="1">
      <c r="I686" s="103"/>
    </row>
    <row r="687" spans="9:9" ht="15.75" customHeight="1">
      <c r="I687" s="103"/>
    </row>
    <row r="688" spans="9:9" ht="15.75" customHeight="1">
      <c r="I688" s="103"/>
    </row>
    <row r="689" spans="9:9" ht="15.75" customHeight="1">
      <c r="I689" s="103"/>
    </row>
    <row r="690" spans="9:9" ht="15.75" customHeight="1">
      <c r="I690" s="103"/>
    </row>
    <row r="691" spans="9:9" ht="15.75" customHeight="1">
      <c r="I691" s="103"/>
    </row>
    <row r="692" spans="9:9" ht="15.75" customHeight="1">
      <c r="I692" s="103"/>
    </row>
    <row r="693" spans="9:9" ht="15.75" customHeight="1">
      <c r="I693" s="103"/>
    </row>
    <row r="694" spans="9:9" ht="15.75" customHeight="1">
      <c r="I694" s="103"/>
    </row>
    <row r="695" spans="9:9" ht="15.75" customHeight="1">
      <c r="I695" s="103"/>
    </row>
    <row r="696" spans="9:9" ht="15.75" customHeight="1">
      <c r="I696" s="103"/>
    </row>
    <row r="697" spans="9:9" ht="15.75" customHeight="1">
      <c r="I697" s="103"/>
    </row>
    <row r="698" spans="9:9" ht="15.75" customHeight="1">
      <c r="I698" s="103"/>
    </row>
    <row r="699" spans="9:9" ht="15.75" customHeight="1">
      <c r="I699" s="103"/>
    </row>
    <row r="700" spans="9:9" ht="15.75" customHeight="1">
      <c r="I700" s="103"/>
    </row>
    <row r="701" spans="9:9" ht="15.75" customHeight="1">
      <c r="I701" s="103"/>
    </row>
    <row r="702" spans="9:9" ht="15.75" customHeight="1">
      <c r="I702" s="103"/>
    </row>
    <row r="703" spans="9:9" ht="15.75" customHeight="1">
      <c r="I703" s="103"/>
    </row>
    <row r="704" spans="9:9" ht="15.75" customHeight="1">
      <c r="I704" s="103"/>
    </row>
    <row r="705" spans="9:9" ht="15.75" customHeight="1">
      <c r="I705" s="103"/>
    </row>
    <row r="706" spans="9:9" ht="15.75" customHeight="1">
      <c r="I706" s="103"/>
    </row>
    <row r="707" spans="9:9" ht="15.75" customHeight="1">
      <c r="I707" s="103"/>
    </row>
    <row r="708" spans="9:9" ht="15.75" customHeight="1">
      <c r="I708" s="103"/>
    </row>
    <row r="709" spans="9:9" ht="15.75" customHeight="1">
      <c r="I709" s="103"/>
    </row>
    <row r="710" spans="9:9" ht="15.75" customHeight="1">
      <c r="I710" s="103"/>
    </row>
    <row r="711" spans="9:9" ht="15.75" customHeight="1">
      <c r="I711" s="103"/>
    </row>
    <row r="712" spans="9:9" ht="15.75" customHeight="1">
      <c r="I712" s="103"/>
    </row>
    <row r="713" spans="9:9" ht="15.75" customHeight="1">
      <c r="I713" s="103"/>
    </row>
    <row r="714" spans="9:9" ht="15.75" customHeight="1">
      <c r="I714" s="103"/>
    </row>
    <row r="715" spans="9:9" ht="15.75" customHeight="1">
      <c r="I715" s="103"/>
    </row>
    <row r="716" spans="9:9" ht="15.75" customHeight="1">
      <c r="I716" s="103"/>
    </row>
    <row r="717" spans="9:9" ht="15.75" customHeight="1">
      <c r="I717" s="103"/>
    </row>
    <row r="718" spans="9:9" ht="15.75" customHeight="1">
      <c r="I718" s="103"/>
    </row>
    <row r="719" spans="9:9" ht="15.75" customHeight="1">
      <c r="I719" s="103"/>
    </row>
    <row r="720" spans="9:9" ht="15.75" customHeight="1">
      <c r="I720" s="103"/>
    </row>
    <row r="721" spans="9:9" ht="15.75" customHeight="1">
      <c r="I721" s="103"/>
    </row>
    <row r="722" spans="9:9" ht="15.75" customHeight="1">
      <c r="I722" s="103"/>
    </row>
    <row r="723" spans="9:9" ht="15.75" customHeight="1">
      <c r="I723" s="103"/>
    </row>
    <row r="724" spans="9:9" ht="15.75" customHeight="1">
      <c r="I724" s="103"/>
    </row>
    <row r="725" spans="9:9" ht="15.75" customHeight="1">
      <c r="I725" s="103"/>
    </row>
    <row r="726" spans="9:9" ht="15.75" customHeight="1">
      <c r="I726" s="103"/>
    </row>
    <row r="727" spans="9:9" ht="15.75" customHeight="1">
      <c r="I727" s="103"/>
    </row>
    <row r="728" spans="9:9" ht="15.75" customHeight="1">
      <c r="I728" s="103"/>
    </row>
    <row r="729" spans="9:9" ht="15.75" customHeight="1">
      <c r="I729" s="103"/>
    </row>
    <row r="730" spans="9:9" ht="15.75" customHeight="1">
      <c r="I730" s="103"/>
    </row>
    <row r="731" spans="9:9" ht="15.75" customHeight="1">
      <c r="I731" s="103"/>
    </row>
    <row r="732" spans="9:9" ht="15.75" customHeight="1">
      <c r="I732" s="103"/>
    </row>
    <row r="733" spans="9:9" ht="15.75" customHeight="1">
      <c r="I733" s="103"/>
    </row>
    <row r="734" spans="9:9" ht="15.75" customHeight="1">
      <c r="I734" s="103"/>
    </row>
    <row r="735" spans="9:9" ht="15.75" customHeight="1">
      <c r="I735" s="103"/>
    </row>
    <row r="736" spans="9:9" ht="15.75" customHeight="1">
      <c r="I736" s="103"/>
    </row>
    <row r="737" spans="9:9" ht="15.75" customHeight="1">
      <c r="I737" s="103"/>
    </row>
    <row r="738" spans="9:9" ht="15.75" customHeight="1">
      <c r="I738" s="103"/>
    </row>
    <row r="739" spans="9:9" ht="15.75" customHeight="1">
      <c r="I739" s="103"/>
    </row>
    <row r="740" spans="9:9" ht="15.75" customHeight="1">
      <c r="I740" s="103"/>
    </row>
    <row r="741" spans="9:9" ht="15.75" customHeight="1">
      <c r="I741" s="103"/>
    </row>
    <row r="742" spans="9:9" ht="15.75" customHeight="1">
      <c r="I742" s="103"/>
    </row>
    <row r="743" spans="9:9" ht="15.75" customHeight="1">
      <c r="I743" s="103"/>
    </row>
    <row r="744" spans="9:9" ht="15.75" customHeight="1">
      <c r="I744" s="103"/>
    </row>
    <row r="745" spans="9:9" ht="15.75" customHeight="1">
      <c r="I745" s="103"/>
    </row>
    <row r="746" spans="9:9" ht="15.75" customHeight="1">
      <c r="I746" s="103"/>
    </row>
    <row r="747" spans="9:9" ht="15.75" customHeight="1">
      <c r="I747" s="103"/>
    </row>
    <row r="748" spans="9:9" ht="15.75" customHeight="1">
      <c r="I748" s="103"/>
    </row>
    <row r="749" spans="9:9" ht="15.75" customHeight="1">
      <c r="I749" s="103"/>
    </row>
    <row r="750" spans="9:9" ht="15.75" customHeight="1">
      <c r="I750" s="103"/>
    </row>
    <row r="751" spans="9:9" ht="15.75" customHeight="1">
      <c r="I751" s="103"/>
    </row>
    <row r="752" spans="9:9" ht="15.75" customHeight="1">
      <c r="I752" s="103"/>
    </row>
    <row r="753" spans="9:9" ht="15.75" customHeight="1">
      <c r="I753" s="103"/>
    </row>
    <row r="754" spans="9:9" ht="15.75" customHeight="1">
      <c r="I754" s="103"/>
    </row>
    <row r="755" spans="9:9" ht="15.75" customHeight="1">
      <c r="I755" s="103"/>
    </row>
    <row r="756" spans="9:9" ht="15.75" customHeight="1">
      <c r="I756" s="103"/>
    </row>
    <row r="757" spans="9:9" ht="15.75" customHeight="1">
      <c r="I757" s="103"/>
    </row>
    <row r="758" spans="9:9" ht="15.75" customHeight="1">
      <c r="I758" s="103"/>
    </row>
    <row r="759" spans="9:9" ht="15.75" customHeight="1">
      <c r="I759" s="103"/>
    </row>
    <row r="760" spans="9:9" ht="15.75" customHeight="1">
      <c r="I760" s="103"/>
    </row>
    <row r="761" spans="9:9" ht="15.75" customHeight="1">
      <c r="I761" s="103"/>
    </row>
    <row r="762" spans="9:9" ht="15.75" customHeight="1">
      <c r="I762" s="103"/>
    </row>
    <row r="763" spans="9:9" ht="15.75" customHeight="1">
      <c r="I763" s="103"/>
    </row>
    <row r="764" spans="9:9" ht="15.75" customHeight="1">
      <c r="I764" s="103"/>
    </row>
    <row r="765" spans="9:9" ht="15.75" customHeight="1">
      <c r="I765" s="103"/>
    </row>
    <row r="766" spans="9:9" ht="15.75" customHeight="1">
      <c r="I766" s="103"/>
    </row>
    <row r="767" spans="9:9" ht="15.75" customHeight="1">
      <c r="I767" s="103"/>
    </row>
    <row r="768" spans="9:9" ht="15.75" customHeight="1">
      <c r="I768" s="103"/>
    </row>
    <row r="769" spans="9:9" ht="15.75" customHeight="1">
      <c r="I769" s="103"/>
    </row>
    <row r="770" spans="9:9" ht="15.75" customHeight="1">
      <c r="I770" s="103"/>
    </row>
    <row r="771" spans="9:9" ht="15.75" customHeight="1">
      <c r="I771" s="103"/>
    </row>
    <row r="772" spans="9:9" ht="15.75" customHeight="1">
      <c r="I772" s="103"/>
    </row>
    <row r="773" spans="9:9" ht="15.75" customHeight="1">
      <c r="I773" s="103"/>
    </row>
    <row r="774" spans="9:9" ht="15.75" customHeight="1">
      <c r="I774" s="103"/>
    </row>
    <row r="775" spans="9:9" ht="15.75" customHeight="1">
      <c r="I775" s="103"/>
    </row>
    <row r="776" spans="9:9" ht="15.75" customHeight="1">
      <c r="I776" s="103"/>
    </row>
    <row r="777" spans="9:9" ht="15.75" customHeight="1">
      <c r="I777" s="103"/>
    </row>
    <row r="778" spans="9:9" ht="15.75" customHeight="1">
      <c r="I778" s="103"/>
    </row>
    <row r="779" spans="9:9" ht="15.75" customHeight="1">
      <c r="I779" s="103"/>
    </row>
    <row r="780" spans="9:9" ht="15.75" customHeight="1">
      <c r="I780" s="103"/>
    </row>
    <row r="781" spans="9:9" ht="15.75" customHeight="1">
      <c r="I781" s="103"/>
    </row>
    <row r="782" spans="9:9" ht="15.75" customHeight="1">
      <c r="I782" s="103"/>
    </row>
    <row r="783" spans="9:9" ht="15.75" customHeight="1">
      <c r="I783" s="103"/>
    </row>
    <row r="784" spans="9:9" ht="15.75" customHeight="1">
      <c r="I784" s="103"/>
    </row>
    <row r="785" spans="9:9" ht="15.75" customHeight="1">
      <c r="I785" s="103"/>
    </row>
    <row r="786" spans="9:9" ht="15.75" customHeight="1">
      <c r="I786" s="103"/>
    </row>
    <row r="787" spans="9:9" ht="15.75" customHeight="1">
      <c r="I787" s="103"/>
    </row>
    <row r="788" spans="9:9" ht="15.75" customHeight="1">
      <c r="I788" s="103"/>
    </row>
    <row r="789" spans="9:9" ht="15.75" customHeight="1">
      <c r="I789" s="103"/>
    </row>
    <row r="790" spans="9:9" ht="15.75" customHeight="1">
      <c r="I790" s="103"/>
    </row>
    <row r="791" spans="9:9" ht="15.75" customHeight="1">
      <c r="I791" s="103"/>
    </row>
    <row r="792" spans="9:9" ht="15.75" customHeight="1">
      <c r="I792" s="103"/>
    </row>
    <row r="793" spans="9:9" ht="15.75" customHeight="1">
      <c r="I793" s="103"/>
    </row>
    <row r="794" spans="9:9" ht="15.75" customHeight="1">
      <c r="I794" s="103"/>
    </row>
    <row r="795" spans="9:9" ht="15.75" customHeight="1">
      <c r="I795" s="103"/>
    </row>
    <row r="796" spans="9:9" ht="15.75" customHeight="1">
      <c r="I796" s="103"/>
    </row>
    <row r="797" spans="9:9" ht="15.75" customHeight="1">
      <c r="I797" s="103"/>
    </row>
    <row r="798" spans="9:9" ht="15.75" customHeight="1">
      <c r="I798" s="103"/>
    </row>
    <row r="799" spans="9:9" ht="15.75" customHeight="1">
      <c r="I799" s="103"/>
    </row>
    <row r="800" spans="9:9" ht="15.75" customHeight="1">
      <c r="I800" s="103"/>
    </row>
    <row r="801" spans="9:9" ht="15.75" customHeight="1">
      <c r="I801" s="103"/>
    </row>
    <row r="802" spans="9:9" ht="15.75" customHeight="1">
      <c r="I802" s="103"/>
    </row>
    <row r="803" spans="9:9" ht="15.75" customHeight="1">
      <c r="I803" s="103"/>
    </row>
    <row r="804" spans="9:9" ht="15.75" customHeight="1">
      <c r="I804" s="103"/>
    </row>
    <row r="805" spans="9:9" ht="15.75" customHeight="1">
      <c r="I805" s="103"/>
    </row>
    <row r="806" spans="9:9" ht="15.75" customHeight="1">
      <c r="I806" s="103"/>
    </row>
    <row r="807" spans="9:9" ht="15.75" customHeight="1">
      <c r="I807" s="103"/>
    </row>
    <row r="808" spans="9:9" ht="15.75" customHeight="1">
      <c r="I808" s="103"/>
    </row>
    <row r="809" spans="9:9" ht="15.75" customHeight="1">
      <c r="I809" s="103"/>
    </row>
    <row r="810" spans="9:9" ht="15.75" customHeight="1">
      <c r="I810" s="103"/>
    </row>
    <row r="811" spans="9:9" ht="15.75" customHeight="1">
      <c r="I811" s="103"/>
    </row>
    <row r="812" spans="9:9" ht="15.75" customHeight="1">
      <c r="I812" s="103"/>
    </row>
    <row r="813" spans="9:9" ht="15.75" customHeight="1">
      <c r="I813" s="103"/>
    </row>
    <row r="814" spans="9:9" ht="15.75" customHeight="1">
      <c r="I814" s="103"/>
    </row>
    <row r="815" spans="9:9" ht="15.75" customHeight="1">
      <c r="I815" s="103"/>
    </row>
    <row r="816" spans="9:9" ht="15.75" customHeight="1">
      <c r="I816" s="103"/>
    </row>
    <row r="817" spans="9:9" ht="15.75" customHeight="1">
      <c r="I817" s="103"/>
    </row>
    <row r="818" spans="9:9" ht="15.75" customHeight="1">
      <c r="I818" s="103"/>
    </row>
    <row r="819" spans="9:9" ht="15.75" customHeight="1">
      <c r="I819" s="103"/>
    </row>
    <row r="820" spans="9:9" ht="15.75" customHeight="1">
      <c r="I820" s="103"/>
    </row>
    <row r="821" spans="9:9" ht="15.75" customHeight="1">
      <c r="I821" s="103"/>
    </row>
    <row r="822" spans="9:9" ht="15.75" customHeight="1">
      <c r="I822" s="103"/>
    </row>
    <row r="823" spans="9:9" ht="15.75" customHeight="1">
      <c r="I823" s="103"/>
    </row>
    <row r="824" spans="9:9" ht="15.75" customHeight="1">
      <c r="I824" s="103"/>
    </row>
    <row r="825" spans="9:9" ht="15.75" customHeight="1">
      <c r="I825" s="103"/>
    </row>
    <row r="826" spans="9:9" ht="15.75" customHeight="1">
      <c r="I826" s="103"/>
    </row>
    <row r="827" spans="9:9" ht="15.75" customHeight="1">
      <c r="I827" s="103"/>
    </row>
    <row r="828" spans="9:9" ht="15.75" customHeight="1">
      <c r="I828" s="103"/>
    </row>
    <row r="829" spans="9:9" ht="15.75" customHeight="1">
      <c r="I829" s="103"/>
    </row>
    <row r="830" spans="9:9" ht="15.75" customHeight="1">
      <c r="I830" s="103"/>
    </row>
    <row r="831" spans="9:9" ht="15.75" customHeight="1">
      <c r="I831" s="103"/>
    </row>
    <row r="832" spans="9:9" ht="15.75" customHeight="1">
      <c r="I832" s="103"/>
    </row>
    <row r="833" spans="9:9" ht="15.75" customHeight="1">
      <c r="I833" s="103"/>
    </row>
    <row r="834" spans="9:9" ht="15.75" customHeight="1">
      <c r="I834" s="103"/>
    </row>
    <row r="835" spans="9:9" ht="15.75" customHeight="1">
      <c r="I835" s="103"/>
    </row>
    <row r="836" spans="9:9" ht="15.75" customHeight="1">
      <c r="I836" s="103"/>
    </row>
    <row r="837" spans="9:9" ht="15.75" customHeight="1">
      <c r="I837" s="103"/>
    </row>
    <row r="838" spans="9:9" ht="15.75" customHeight="1">
      <c r="I838" s="103"/>
    </row>
    <row r="839" spans="9:9" ht="15.75" customHeight="1">
      <c r="I839" s="103"/>
    </row>
    <row r="840" spans="9:9" ht="15.75" customHeight="1">
      <c r="I840" s="103"/>
    </row>
    <row r="841" spans="9:9" ht="15.75" customHeight="1">
      <c r="I841" s="103"/>
    </row>
    <row r="842" spans="9:9" ht="15.75" customHeight="1">
      <c r="I842" s="103"/>
    </row>
    <row r="843" spans="9:9" ht="15.75" customHeight="1">
      <c r="I843" s="103"/>
    </row>
    <row r="844" spans="9:9" ht="15.75" customHeight="1">
      <c r="I844" s="103"/>
    </row>
    <row r="845" spans="9:9" ht="15.75" customHeight="1">
      <c r="I845" s="103"/>
    </row>
    <row r="846" spans="9:9" ht="15.75" customHeight="1">
      <c r="I846" s="103"/>
    </row>
    <row r="847" spans="9:9" ht="15.75" customHeight="1">
      <c r="I847" s="103"/>
    </row>
    <row r="848" spans="9:9" ht="15.75" customHeight="1">
      <c r="I848" s="103"/>
    </row>
    <row r="849" spans="9:9" ht="15.75" customHeight="1">
      <c r="I849" s="103"/>
    </row>
    <row r="850" spans="9:9" ht="15.75" customHeight="1">
      <c r="I850" s="103"/>
    </row>
    <row r="851" spans="9:9" ht="15.75" customHeight="1">
      <c r="I851" s="103"/>
    </row>
    <row r="852" spans="9:9" ht="15.75" customHeight="1">
      <c r="I852" s="103"/>
    </row>
    <row r="853" spans="9:9" ht="15.75" customHeight="1">
      <c r="I853" s="103"/>
    </row>
    <row r="854" spans="9:9" ht="15.75" customHeight="1">
      <c r="I854" s="103"/>
    </row>
    <row r="855" spans="9:9" ht="15.75" customHeight="1">
      <c r="I855" s="103"/>
    </row>
    <row r="856" spans="9:9" ht="15.75" customHeight="1">
      <c r="I856" s="103"/>
    </row>
    <row r="857" spans="9:9" ht="15.75" customHeight="1">
      <c r="I857" s="103"/>
    </row>
    <row r="858" spans="9:9" ht="15.75" customHeight="1">
      <c r="I858" s="103"/>
    </row>
    <row r="859" spans="9:9" ht="15.75" customHeight="1">
      <c r="I859" s="103"/>
    </row>
    <row r="860" spans="9:9" ht="15.75" customHeight="1">
      <c r="I860" s="103"/>
    </row>
    <row r="861" spans="9:9" ht="15.75" customHeight="1">
      <c r="I861" s="103"/>
    </row>
    <row r="862" spans="9:9" ht="15.75" customHeight="1">
      <c r="I862" s="103"/>
    </row>
    <row r="863" spans="9:9" ht="15.75" customHeight="1">
      <c r="I863" s="103"/>
    </row>
    <row r="864" spans="9:9" ht="15.75" customHeight="1">
      <c r="I864" s="103"/>
    </row>
    <row r="865" spans="9:9" ht="15.75" customHeight="1">
      <c r="I865" s="103"/>
    </row>
    <row r="866" spans="9:9" ht="15.75" customHeight="1">
      <c r="I866" s="103"/>
    </row>
    <row r="867" spans="9:9" ht="15.75" customHeight="1">
      <c r="I867" s="103"/>
    </row>
    <row r="868" spans="9:9" ht="15.75" customHeight="1">
      <c r="I868" s="103"/>
    </row>
    <row r="869" spans="9:9" ht="15.75" customHeight="1">
      <c r="I869" s="103"/>
    </row>
    <row r="870" spans="9:9" ht="15.75" customHeight="1">
      <c r="I870" s="103"/>
    </row>
    <row r="871" spans="9:9" ht="15.75" customHeight="1">
      <c r="I871" s="103"/>
    </row>
    <row r="872" spans="9:9" ht="15.75" customHeight="1">
      <c r="I872" s="103"/>
    </row>
    <row r="873" spans="9:9" ht="15.75" customHeight="1">
      <c r="I873" s="103"/>
    </row>
    <row r="874" spans="9:9" ht="15.75" customHeight="1">
      <c r="I874" s="103"/>
    </row>
    <row r="875" spans="9:9" ht="15.75" customHeight="1">
      <c r="I875" s="103"/>
    </row>
    <row r="876" spans="9:9" ht="15.75" customHeight="1">
      <c r="I876" s="103"/>
    </row>
    <row r="877" spans="9:9" ht="15.75" customHeight="1">
      <c r="I877" s="103"/>
    </row>
    <row r="878" spans="9:9" ht="15.75" customHeight="1">
      <c r="I878" s="103"/>
    </row>
    <row r="879" spans="9:9" ht="15.75" customHeight="1">
      <c r="I879" s="103"/>
    </row>
    <row r="880" spans="9:9" ht="15.75" customHeight="1">
      <c r="I880" s="103"/>
    </row>
    <row r="881" spans="9:9" ht="15.75" customHeight="1">
      <c r="I881" s="103"/>
    </row>
    <row r="882" spans="9:9" ht="15.75" customHeight="1">
      <c r="I882" s="103"/>
    </row>
    <row r="883" spans="9:9" ht="15.75" customHeight="1">
      <c r="I883" s="103"/>
    </row>
    <row r="884" spans="9:9" ht="15.75" customHeight="1">
      <c r="I884" s="103"/>
    </row>
    <row r="885" spans="9:9" ht="15.75" customHeight="1">
      <c r="I885" s="103"/>
    </row>
    <row r="886" spans="9:9" ht="15.75" customHeight="1">
      <c r="I886" s="103"/>
    </row>
    <row r="887" spans="9:9" ht="15.75" customHeight="1">
      <c r="I887" s="103"/>
    </row>
    <row r="888" spans="9:9" ht="15.75" customHeight="1">
      <c r="I888" s="103"/>
    </row>
    <row r="889" spans="9:9" ht="15.75" customHeight="1">
      <c r="I889" s="103"/>
    </row>
    <row r="890" spans="9:9" ht="15.75" customHeight="1">
      <c r="I890" s="103"/>
    </row>
    <row r="891" spans="9:9" ht="15.75" customHeight="1">
      <c r="I891" s="103"/>
    </row>
    <row r="892" spans="9:9" ht="15.75" customHeight="1">
      <c r="I892" s="103"/>
    </row>
    <row r="893" spans="9:9" ht="15.75" customHeight="1">
      <c r="I893" s="103"/>
    </row>
    <row r="894" spans="9:9" ht="15.75" customHeight="1">
      <c r="I894" s="103"/>
    </row>
    <row r="895" spans="9:9" ht="15.75" customHeight="1">
      <c r="I895" s="103"/>
    </row>
    <row r="896" spans="9:9" ht="15.75" customHeight="1">
      <c r="I896" s="103"/>
    </row>
    <row r="897" spans="9:9" ht="15.75" customHeight="1">
      <c r="I897" s="103"/>
    </row>
    <row r="898" spans="9:9" ht="15.75" customHeight="1">
      <c r="I898" s="103"/>
    </row>
    <row r="899" spans="9:9" ht="15.75" customHeight="1">
      <c r="I899" s="103"/>
    </row>
    <row r="900" spans="9:9" ht="15.75" customHeight="1">
      <c r="I900" s="103"/>
    </row>
    <row r="901" spans="9:9" ht="15.75" customHeight="1">
      <c r="I901" s="103"/>
    </row>
    <row r="902" spans="9:9" ht="15.75" customHeight="1">
      <c r="I902" s="103"/>
    </row>
    <row r="903" spans="9:9" ht="15.75" customHeight="1">
      <c r="I903" s="103"/>
    </row>
    <row r="904" spans="9:9" ht="15.75" customHeight="1">
      <c r="I904" s="103"/>
    </row>
    <row r="905" spans="9:9" ht="15.75" customHeight="1">
      <c r="I905" s="103"/>
    </row>
    <row r="906" spans="9:9" ht="15.75" customHeight="1">
      <c r="I906" s="103"/>
    </row>
    <row r="907" spans="9:9" ht="15.75" customHeight="1">
      <c r="I907" s="103"/>
    </row>
    <row r="908" spans="9:9" ht="15.75" customHeight="1">
      <c r="I908" s="103"/>
    </row>
    <row r="909" spans="9:9" ht="15.75" customHeight="1">
      <c r="I909" s="103"/>
    </row>
    <row r="910" spans="9:9" ht="15.75" customHeight="1">
      <c r="I910" s="103"/>
    </row>
    <row r="911" spans="9:9" ht="15.75" customHeight="1">
      <c r="I911" s="103"/>
    </row>
    <row r="912" spans="9:9" ht="15.75" customHeight="1">
      <c r="I912" s="103"/>
    </row>
    <row r="913" spans="9:9" ht="15.75" customHeight="1">
      <c r="I913" s="103"/>
    </row>
    <row r="914" spans="9:9" ht="15.75" customHeight="1">
      <c r="I914" s="103"/>
    </row>
    <row r="915" spans="9:9" ht="15.75" customHeight="1">
      <c r="I915" s="103"/>
    </row>
    <row r="916" spans="9:9" ht="15.75" customHeight="1">
      <c r="I916" s="103"/>
    </row>
    <row r="917" spans="9:9" ht="15.75" customHeight="1">
      <c r="I917" s="103"/>
    </row>
    <row r="918" spans="9:9" ht="15.75" customHeight="1">
      <c r="I918" s="103"/>
    </row>
    <row r="919" spans="9:9" ht="15.75" customHeight="1">
      <c r="I919" s="103"/>
    </row>
    <row r="920" spans="9:9" ht="15.75" customHeight="1">
      <c r="I920" s="103"/>
    </row>
    <row r="921" spans="9:9" ht="15.75" customHeight="1">
      <c r="I921" s="103"/>
    </row>
    <row r="922" spans="9:9" ht="15.75" customHeight="1">
      <c r="I922" s="103"/>
    </row>
    <row r="923" spans="9:9" ht="15.75" customHeight="1">
      <c r="I923" s="103"/>
    </row>
    <row r="924" spans="9:9" ht="15.75" customHeight="1">
      <c r="I924" s="103"/>
    </row>
    <row r="925" spans="9:9" ht="15.75" customHeight="1">
      <c r="I925" s="103"/>
    </row>
    <row r="926" spans="9:9" ht="15.75" customHeight="1">
      <c r="I926" s="103"/>
    </row>
    <row r="927" spans="9:9" ht="15.75" customHeight="1">
      <c r="I927" s="103"/>
    </row>
    <row r="928" spans="9:9" ht="15.75" customHeight="1">
      <c r="I928" s="103"/>
    </row>
    <row r="929" spans="9:9" ht="15.75" customHeight="1">
      <c r="I929" s="103"/>
    </row>
    <row r="930" spans="9:9" ht="15.75" customHeight="1">
      <c r="I930" s="103"/>
    </row>
    <row r="931" spans="9:9" ht="15.75" customHeight="1">
      <c r="I931" s="103"/>
    </row>
    <row r="932" spans="9:9" ht="15.75" customHeight="1">
      <c r="I932" s="103"/>
    </row>
    <row r="933" spans="9:9" ht="15.75" customHeight="1">
      <c r="I933" s="103"/>
    </row>
    <row r="934" spans="9:9" ht="15.75" customHeight="1">
      <c r="I934" s="103"/>
    </row>
    <row r="935" spans="9:9" ht="15.75" customHeight="1">
      <c r="I935" s="103"/>
    </row>
    <row r="936" spans="9:9" ht="15.75" customHeight="1">
      <c r="I936" s="103"/>
    </row>
    <row r="937" spans="9:9" ht="15.75" customHeight="1">
      <c r="I937" s="103"/>
    </row>
    <row r="938" spans="9:9" ht="15.75" customHeight="1">
      <c r="I938" s="103"/>
    </row>
    <row r="939" spans="9:9" ht="15.75" customHeight="1">
      <c r="I939" s="103"/>
    </row>
    <row r="940" spans="9:9" ht="15.75" customHeight="1">
      <c r="I940" s="103"/>
    </row>
    <row r="941" spans="9:9" ht="15.75" customHeight="1">
      <c r="I941" s="103"/>
    </row>
    <row r="942" spans="9:9" ht="15.75" customHeight="1">
      <c r="I942" s="103"/>
    </row>
    <row r="943" spans="9:9" ht="15.75" customHeight="1">
      <c r="I943" s="103"/>
    </row>
    <row r="944" spans="9:9" ht="15.75" customHeight="1">
      <c r="I944" s="103"/>
    </row>
    <row r="945" spans="9:9" ht="15.75" customHeight="1">
      <c r="I945" s="103"/>
    </row>
    <row r="946" spans="9:9" ht="15.75" customHeight="1">
      <c r="I946" s="103"/>
    </row>
    <row r="947" spans="9:9" ht="15.75" customHeight="1">
      <c r="I947" s="103"/>
    </row>
    <row r="948" spans="9:9" ht="15.75" customHeight="1">
      <c r="I948" s="103"/>
    </row>
    <row r="949" spans="9:9" ht="15.75" customHeight="1">
      <c r="I949" s="103"/>
    </row>
    <row r="950" spans="9:9" ht="15.75" customHeight="1">
      <c r="I950" s="103"/>
    </row>
    <row r="951" spans="9:9" ht="15.75" customHeight="1">
      <c r="I951" s="103"/>
    </row>
    <row r="952" spans="9:9" ht="15.75" customHeight="1">
      <c r="I952" s="103"/>
    </row>
    <row r="953" spans="9:9" ht="15.75" customHeight="1">
      <c r="I953" s="103"/>
    </row>
    <row r="954" spans="9:9" ht="15.75" customHeight="1">
      <c r="I954" s="103"/>
    </row>
    <row r="955" spans="9:9" ht="15.75" customHeight="1">
      <c r="I955" s="103"/>
    </row>
    <row r="956" spans="9:9" ht="15.75" customHeight="1">
      <c r="I956" s="103"/>
    </row>
    <row r="957" spans="9:9" ht="15.75" customHeight="1">
      <c r="I957" s="103"/>
    </row>
    <row r="958" spans="9:9" ht="15.75" customHeight="1">
      <c r="I958" s="103"/>
    </row>
    <row r="959" spans="9:9" ht="15.75" customHeight="1">
      <c r="I959" s="103"/>
    </row>
    <row r="960" spans="9:9" ht="15.75" customHeight="1">
      <c r="I960" s="103"/>
    </row>
    <row r="961" spans="9:9" ht="15.75" customHeight="1">
      <c r="I961" s="103"/>
    </row>
    <row r="962" spans="9:9" ht="15.75" customHeight="1">
      <c r="I962" s="103"/>
    </row>
    <row r="963" spans="9:9" ht="15.75" customHeight="1">
      <c r="I963" s="103"/>
    </row>
    <row r="964" spans="9:9" ht="15.75" customHeight="1">
      <c r="I964" s="103"/>
    </row>
    <row r="965" spans="9:9" ht="15.75" customHeight="1">
      <c r="I965" s="103"/>
    </row>
    <row r="966" spans="9:9" ht="15.75" customHeight="1">
      <c r="I966" s="103"/>
    </row>
    <row r="967" spans="9:9" ht="15.75" customHeight="1">
      <c r="I967" s="103"/>
    </row>
    <row r="968" spans="9:9" ht="15.75" customHeight="1">
      <c r="I968" s="103"/>
    </row>
    <row r="969" spans="9:9" ht="15.75" customHeight="1">
      <c r="I969" s="103"/>
    </row>
    <row r="970" spans="9:9" ht="15.75" customHeight="1">
      <c r="I970" s="103"/>
    </row>
    <row r="971" spans="9:9" ht="15.75" customHeight="1">
      <c r="I971" s="103"/>
    </row>
    <row r="972" spans="9:9" ht="15.75" customHeight="1">
      <c r="I972" s="103"/>
    </row>
    <row r="973" spans="9:9" ht="15.75" customHeight="1">
      <c r="I973" s="103"/>
    </row>
    <row r="974" spans="9:9" ht="15.75" customHeight="1">
      <c r="I974" s="103"/>
    </row>
    <row r="975" spans="9:9" ht="15.75" customHeight="1">
      <c r="I975" s="103"/>
    </row>
    <row r="976" spans="9:9" ht="15.75" customHeight="1">
      <c r="I976" s="103"/>
    </row>
    <row r="977" spans="9:9" ht="15.75" customHeight="1">
      <c r="I977" s="103"/>
    </row>
    <row r="978" spans="9:9" ht="15.75" customHeight="1">
      <c r="I978" s="103"/>
    </row>
    <row r="979" spans="9:9" ht="15.75" customHeight="1">
      <c r="I979" s="103"/>
    </row>
    <row r="980" spans="9:9" ht="15.75" customHeight="1">
      <c r="I980" s="103"/>
    </row>
    <row r="981" spans="9:9" ht="15.75" customHeight="1">
      <c r="I981" s="103"/>
    </row>
    <row r="982" spans="9:9" ht="15.75" customHeight="1">
      <c r="I982" s="103"/>
    </row>
    <row r="983" spans="9:9" ht="15.75" customHeight="1">
      <c r="I983" s="103"/>
    </row>
    <row r="984" spans="9:9" ht="15.75" customHeight="1">
      <c r="I984" s="103"/>
    </row>
    <row r="985" spans="9:9" ht="15.75" customHeight="1">
      <c r="I985" s="103"/>
    </row>
    <row r="986" spans="9:9" ht="15.75" customHeight="1">
      <c r="I986" s="103"/>
    </row>
    <row r="987" spans="9:9" ht="15.75" customHeight="1">
      <c r="I987" s="103"/>
    </row>
    <row r="988" spans="9:9" ht="15.75" customHeight="1">
      <c r="I988" s="103"/>
    </row>
    <row r="989" spans="9:9" ht="15.75" customHeight="1">
      <c r="I989" s="103"/>
    </row>
    <row r="990" spans="9:9" ht="15.75" customHeight="1">
      <c r="I990" s="103"/>
    </row>
    <row r="991" spans="9:9" ht="15.75" customHeight="1">
      <c r="I991" s="103"/>
    </row>
    <row r="992" spans="9:9" ht="15.75" customHeight="1">
      <c r="I992" s="103"/>
    </row>
    <row r="993" spans="9:9" ht="15.75" customHeight="1">
      <c r="I993" s="103"/>
    </row>
    <row r="994" spans="9:9" ht="15.75" customHeight="1">
      <c r="I994" s="103"/>
    </row>
    <row r="995" spans="9:9" ht="15.75" customHeight="1">
      <c r="I995" s="103"/>
    </row>
    <row r="996" spans="9:9" ht="15.75" customHeight="1">
      <c r="I996" s="103"/>
    </row>
    <row r="997" spans="9:9" ht="15.75" customHeight="1">
      <c r="I997" s="103"/>
    </row>
    <row r="998" spans="9:9" ht="15.75" customHeight="1">
      <c r="I998" s="103"/>
    </row>
    <row r="999" spans="9:9" ht="15.75" customHeight="1">
      <c r="I999" s="103"/>
    </row>
    <row r="1000" spans="9:9" ht="15.75" customHeight="1">
      <c r="I1000" s="103"/>
    </row>
  </sheetData>
  <mergeCells count="6">
    <mergeCell ref="A1:H1"/>
    <mergeCell ref="A5:G5"/>
    <mergeCell ref="A7:H7"/>
    <mergeCell ref="A20:F20"/>
    <mergeCell ref="A23:B23"/>
    <mergeCell ref="D23:E23"/>
  </mergeCells>
  <hyperlinks>
    <hyperlink ref="B52" r:id="rId1" xr:uid="{CFE391B4-5593-4F77-AD11-6A9E6ADA2850}"/>
  </hyperlinks>
  <pageMargins left="0.511811024" right="0.511811024" top="0.78740157499999996" bottom="0.78740157499999996" header="0" footer="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tabSelected="1" workbookViewId="0">
      <selection activeCell="F12" sqref="F12"/>
    </sheetView>
  </sheetViews>
  <sheetFormatPr defaultColWidth="14.44140625" defaultRowHeight="15" customHeight="1"/>
  <cols>
    <col min="1" max="1" width="31.88671875" customWidth="1"/>
    <col min="2" max="2" width="65" customWidth="1"/>
    <col min="3" max="3" width="14.33203125" customWidth="1"/>
    <col min="4" max="4" width="20.109375" customWidth="1"/>
    <col min="5" max="5" width="8.6640625" customWidth="1"/>
    <col min="6" max="6" width="34.44140625" customWidth="1"/>
    <col min="7" max="7" width="12.5546875" customWidth="1"/>
    <col min="8" max="8" width="21.88671875" customWidth="1"/>
    <col min="9" max="26" width="8.6640625" customWidth="1"/>
  </cols>
  <sheetData>
    <row r="1" spans="1:8" ht="21">
      <c r="A1" s="148" t="s">
        <v>67</v>
      </c>
      <c r="B1" s="146"/>
      <c r="C1" s="146"/>
      <c r="D1" s="154"/>
    </row>
    <row r="2" spans="1:8" ht="21">
      <c r="A2" s="2" t="s">
        <v>68</v>
      </c>
      <c r="B2" s="3" t="s">
        <v>2</v>
      </c>
      <c r="C2" s="3" t="s">
        <v>16</v>
      </c>
      <c r="D2" s="4" t="s">
        <v>40</v>
      </c>
      <c r="F2" s="104" t="s">
        <v>69</v>
      </c>
      <c r="G2" s="171">
        <f>C3</f>
        <v>133760</v>
      </c>
      <c r="H2" s="160"/>
    </row>
    <row r="3" spans="1:8" ht="21">
      <c r="A3" s="105" t="s">
        <v>70</v>
      </c>
      <c r="B3" s="106" t="s">
        <v>71</v>
      </c>
      <c r="C3" s="107">
        <f>FaturamentoXCustos!D10</f>
        <v>133760</v>
      </c>
      <c r="D3" s="108"/>
      <c r="F3" s="104" t="s">
        <v>72</v>
      </c>
      <c r="G3" s="109">
        <f>D10</f>
        <v>0.55790423145933021</v>
      </c>
      <c r="H3" s="110">
        <f>C10</f>
        <v>74625.27</v>
      </c>
    </row>
    <row r="4" spans="1:8" ht="43.2">
      <c r="A4" s="40"/>
      <c r="B4" s="111" t="s">
        <v>73</v>
      </c>
      <c r="C4" s="172">
        <f>FaturamentoXCustos!D28</f>
        <v>0</v>
      </c>
      <c r="D4" s="112"/>
      <c r="F4" s="104" t="s">
        <v>74</v>
      </c>
      <c r="G4" s="109">
        <f>B32</f>
        <v>0.17720192091173853</v>
      </c>
      <c r="H4" s="113" t="s">
        <v>75</v>
      </c>
    </row>
    <row r="5" spans="1:8" ht="39.75" customHeight="1">
      <c r="A5" s="42" t="s">
        <v>76</v>
      </c>
      <c r="B5" s="63" t="s">
        <v>77</v>
      </c>
      <c r="C5" s="173"/>
      <c r="D5" s="114"/>
      <c r="E5" s="115"/>
      <c r="F5" s="104" t="s">
        <v>78</v>
      </c>
      <c r="G5" s="116">
        <f>B38</f>
        <v>5.6432796826061731</v>
      </c>
      <c r="H5" s="116" t="s">
        <v>79</v>
      </c>
    </row>
    <row r="6" spans="1:8" ht="14.4">
      <c r="A6" s="42" t="s">
        <v>80</v>
      </c>
      <c r="B6" s="63" t="s">
        <v>81</v>
      </c>
      <c r="C6" s="77">
        <f>FaturamentoXCustos!D35</f>
        <v>59118.400000000001</v>
      </c>
      <c r="D6" s="117"/>
    </row>
    <row r="7" spans="1:8" ht="14.4">
      <c r="A7" s="118"/>
      <c r="B7" s="119" t="s">
        <v>48</v>
      </c>
      <c r="C7" s="120">
        <f>SUM(C4:C6)</f>
        <v>59118.400000000001</v>
      </c>
      <c r="D7" s="121"/>
    </row>
    <row r="8" spans="1:8" ht="14.4">
      <c r="A8" s="122"/>
      <c r="B8" s="74" t="s">
        <v>82</v>
      </c>
      <c r="C8" s="123">
        <f>C3-C7</f>
        <v>74641.600000000006</v>
      </c>
      <c r="D8" s="124"/>
    </row>
    <row r="9" spans="1:8" ht="14.4">
      <c r="A9" s="125" t="s">
        <v>83</v>
      </c>
      <c r="B9" s="126" t="s">
        <v>84</v>
      </c>
      <c r="C9" s="127">
        <f>'cont... custos'!B41</f>
        <v>16.329999999999998</v>
      </c>
      <c r="D9" s="128"/>
    </row>
    <row r="10" spans="1:8" ht="14.4">
      <c r="A10" s="129"/>
      <c r="B10" s="130" t="s">
        <v>85</v>
      </c>
      <c r="C10" s="131">
        <f>C8-C9</f>
        <v>74625.27</v>
      </c>
      <c r="D10" s="132">
        <f>C10/C3</f>
        <v>0.55790423145933021</v>
      </c>
    </row>
    <row r="11" spans="1:8" ht="14.4">
      <c r="F11" s="133"/>
    </row>
    <row r="12" spans="1:8" ht="14.4">
      <c r="F12" s="133"/>
    </row>
    <row r="13" spans="1:8" ht="21">
      <c r="A13" s="169" t="s">
        <v>86</v>
      </c>
      <c r="B13" s="146"/>
      <c r="C13" s="146"/>
      <c r="D13" s="150"/>
      <c r="F13" s="133"/>
    </row>
    <row r="14" spans="1:8" ht="21">
      <c r="A14" s="163" t="s">
        <v>87</v>
      </c>
      <c r="B14" s="146"/>
      <c r="C14" s="146"/>
      <c r="D14" s="150"/>
      <c r="F14" s="133"/>
    </row>
    <row r="15" spans="1:8" ht="21">
      <c r="A15" s="163" t="s">
        <v>88</v>
      </c>
      <c r="B15" s="146"/>
      <c r="C15" s="146"/>
      <c r="D15" s="150"/>
      <c r="F15" s="133"/>
    </row>
    <row r="16" spans="1:8" ht="21">
      <c r="A16" s="164" t="s">
        <v>89</v>
      </c>
      <c r="B16" s="165"/>
      <c r="C16" s="165"/>
      <c r="D16" s="166"/>
      <c r="F16" s="133"/>
    </row>
    <row r="17" spans="1:6" ht="21">
      <c r="A17" s="134" t="s">
        <v>90</v>
      </c>
      <c r="B17" s="135">
        <f>C8/C3</f>
        <v>0.5580263157894737</v>
      </c>
      <c r="C17" s="136"/>
      <c r="F17" s="69"/>
    </row>
    <row r="18" spans="1:6" ht="21">
      <c r="A18" s="137" t="s">
        <v>91</v>
      </c>
      <c r="B18" s="138">
        <f>C9/B17</f>
        <v>29.263852864890353</v>
      </c>
      <c r="C18" s="139"/>
      <c r="F18" s="69"/>
    </row>
    <row r="19" spans="1:6" ht="34.5" customHeight="1">
      <c r="A19" s="162" t="s">
        <v>92</v>
      </c>
      <c r="B19" s="146"/>
      <c r="C19" s="146"/>
      <c r="D19" s="150"/>
    </row>
    <row r="21" spans="1:6" ht="15.75" customHeight="1"/>
    <row r="22" spans="1:6" ht="15.75" customHeight="1">
      <c r="A22" s="169" t="s">
        <v>72</v>
      </c>
      <c r="B22" s="146"/>
      <c r="C22" s="146"/>
      <c r="D22" s="150"/>
    </row>
    <row r="23" spans="1:6" ht="15.75" customHeight="1">
      <c r="A23" s="163" t="s">
        <v>93</v>
      </c>
      <c r="B23" s="146"/>
      <c r="C23" s="146"/>
      <c r="D23" s="150"/>
    </row>
    <row r="24" spans="1:6" ht="15.75" customHeight="1">
      <c r="A24" s="164" t="s">
        <v>94</v>
      </c>
      <c r="B24" s="165"/>
      <c r="C24" s="165"/>
      <c r="D24" s="166"/>
    </row>
    <row r="25" spans="1:6" ht="15.75" customHeight="1">
      <c r="A25" s="137" t="s">
        <v>72</v>
      </c>
      <c r="B25" s="140">
        <f>C10/C3</f>
        <v>0.55790423145933021</v>
      </c>
      <c r="C25" s="167"/>
      <c r="D25" s="168"/>
    </row>
    <row r="26" spans="1:6" ht="15.75" customHeight="1">
      <c r="A26" s="162" t="s">
        <v>95</v>
      </c>
      <c r="B26" s="146"/>
      <c r="C26" s="146"/>
      <c r="D26" s="150"/>
    </row>
    <row r="27" spans="1:6" ht="15.75" customHeight="1"/>
    <row r="28" spans="1:6" ht="15.75" customHeight="1"/>
    <row r="29" spans="1:6" ht="15.75" customHeight="1">
      <c r="A29" s="169" t="s">
        <v>74</v>
      </c>
      <c r="B29" s="146"/>
      <c r="C29" s="146"/>
      <c r="D29" s="150"/>
    </row>
    <row r="30" spans="1:6" ht="15.75" customHeight="1">
      <c r="A30" s="163" t="s">
        <v>96</v>
      </c>
      <c r="B30" s="146"/>
      <c r="C30" s="146"/>
      <c r="D30" s="150"/>
    </row>
    <row r="31" spans="1:6" ht="15.75" customHeight="1">
      <c r="A31" s="164" t="s">
        <v>97</v>
      </c>
      <c r="B31" s="165"/>
      <c r="C31" s="165"/>
      <c r="D31" s="166"/>
    </row>
    <row r="32" spans="1:6" ht="15.75" customHeight="1">
      <c r="A32" s="137" t="s">
        <v>74</v>
      </c>
      <c r="B32" s="140">
        <f>C10/'Investimento Total'!B6</f>
        <v>0.17720192091173853</v>
      </c>
      <c r="C32" s="167"/>
      <c r="D32" s="168"/>
    </row>
    <row r="33" spans="1:4" ht="15.75" customHeight="1">
      <c r="A33" s="162" t="s">
        <v>98</v>
      </c>
      <c r="B33" s="146"/>
      <c r="C33" s="146"/>
      <c r="D33" s="150"/>
    </row>
    <row r="34" spans="1:4" ht="15.75" customHeight="1"/>
    <row r="35" spans="1:4" ht="15.75" customHeight="1">
      <c r="A35" s="169" t="s">
        <v>99</v>
      </c>
      <c r="B35" s="146"/>
      <c r="C35" s="146"/>
      <c r="D35" s="150"/>
    </row>
    <row r="36" spans="1:4" ht="15.75" customHeight="1">
      <c r="A36" s="163" t="s">
        <v>100</v>
      </c>
      <c r="B36" s="146"/>
      <c r="C36" s="146"/>
      <c r="D36" s="150"/>
    </row>
    <row r="37" spans="1:4" ht="15.75" customHeight="1">
      <c r="A37" s="164" t="s">
        <v>97</v>
      </c>
      <c r="B37" s="165"/>
      <c r="C37" s="165"/>
      <c r="D37" s="166"/>
    </row>
    <row r="38" spans="1:4" ht="15.75" customHeight="1">
      <c r="A38" s="137" t="s">
        <v>99</v>
      </c>
      <c r="B38" s="141">
        <f>'Investimento Total'!B6/C10</f>
        <v>5.6432796826061731</v>
      </c>
      <c r="C38" s="170"/>
      <c r="D38" s="168"/>
    </row>
    <row r="39" spans="1:4" ht="33" customHeight="1">
      <c r="A39" s="162" t="s">
        <v>101</v>
      </c>
      <c r="B39" s="146"/>
      <c r="C39" s="146"/>
      <c r="D39" s="150"/>
    </row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G2:H2"/>
    <mergeCell ref="C4:C5"/>
    <mergeCell ref="A13:D13"/>
    <mergeCell ref="A14:D14"/>
    <mergeCell ref="A15:D15"/>
    <mergeCell ref="A16:D16"/>
    <mergeCell ref="A19:D19"/>
    <mergeCell ref="A22:D22"/>
    <mergeCell ref="A23:D23"/>
    <mergeCell ref="A24:D24"/>
    <mergeCell ref="C25:D25"/>
    <mergeCell ref="A26:D26"/>
    <mergeCell ref="A29:D29"/>
    <mergeCell ref="C38:D38"/>
    <mergeCell ref="A39:D39"/>
    <mergeCell ref="A30:D30"/>
    <mergeCell ref="A31:D31"/>
    <mergeCell ref="C32:D32"/>
    <mergeCell ref="A33:D33"/>
    <mergeCell ref="A35:D35"/>
    <mergeCell ref="A36:D36"/>
    <mergeCell ref="A37:D37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Investimentos Fixos</vt:lpstr>
      <vt:lpstr>Capital de Giro</vt:lpstr>
      <vt:lpstr>Investimentos Pré-Operacionais</vt:lpstr>
      <vt:lpstr>Investimento Total</vt:lpstr>
      <vt:lpstr>FaturamentoXCustos</vt:lpstr>
      <vt:lpstr>cont... custos</vt:lpstr>
      <vt:lpstr>Resultado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</dc:creator>
  <cp:lastModifiedBy>FABIANA SORRILHA</cp:lastModifiedBy>
  <dcterms:created xsi:type="dcterms:W3CDTF">2012-03-27T00:46:47Z</dcterms:created>
  <dcterms:modified xsi:type="dcterms:W3CDTF">2025-08-19T21:45:23Z</dcterms:modified>
</cp:coreProperties>
</file>